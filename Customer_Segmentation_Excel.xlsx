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935d10724fb70c/Documents/Patient risk project (P1 excel)/project that might work/"/>
    </mc:Choice>
  </mc:AlternateContent>
  <xr:revisionPtr revIDLastSave="418" documentId="8_{131CA646-07E2-4B0E-ADDB-4AAA0D31AF54}" xr6:coauthVersionLast="47" xr6:coauthVersionMax="47" xr10:uidLastSave="{AB659257-910F-4651-A038-859684593C10}"/>
  <bookViews>
    <workbookView xWindow="-108" yWindow="-108" windowWidth="23256" windowHeight="12456" activeTab="7" xr2:uid="{0D4FEE33-F9BE-479E-AC1F-A1D9EAB432B1}"/>
  </bookViews>
  <sheets>
    <sheet name="Raw_Data" sheetId="1" r:id="rId1"/>
    <sheet name="Clean_Data" sheetId="2" r:id="rId2"/>
    <sheet name="Calculations" sheetId="3" r:id="rId3"/>
    <sheet name="Pivot_Revenue" sheetId="7" r:id="rId4"/>
    <sheet name="Segment_Profit" sheetId="8" r:id="rId5"/>
    <sheet name="Segment_Margin" sheetId="9" r:id="rId6"/>
    <sheet name="Segment_Actions" sheetId="10" r:id="rId7"/>
    <sheet name="Chart_Data" sheetId="11" r:id="rId8"/>
    <sheet name="Insights" sheetId="4" r:id="rId9"/>
    <sheet name="Dashboard" sheetId="6" r:id="rId10"/>
  </sheets>
  <definedNames>
    <definedName name="_xlnm._FilterDatabase" localSheetId="2" hidden="1">Calculations!$K$2:$K$202</definedName>
    <definedName name="_xlnm._FilterDatabase" localSheetId="1" hidden="1">Clean_Data!$A$1:$K$201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" i="1"/>
  <c r="B6" i="6"/>
  <c r="B4" i="6"/>
  <c r="F3" i="3"/>
  <c r="F6" i="6" s="1"/>
  <c r="B3" i="3"/>
  <c r="E3" i="3" s="1"/>
  <c r="D6" i="6" s="1"/>
  <c r="D4" i="3"/>
  <c r="D5" i="3"/>
  <c r="D6" i="3"/>
  <c r="D7" i="3"/>
  <c r="D8" i="3"/>
  <c r="D9" i="3"/>
  <c r="D10" i="3"/>
  <c r="D11" i="3"/>
  <c r="D12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E16" i="3" s="1"/>
  <c r="C17" i="3"/>
  <c r="E17" i="3" s="1"/>
  <c r="C18" i="3"/>
  <c r="E18" i="3" s="1"/>
  <c r="C19" i="3"/>
  <c r="E19" i="3" s="1"/>
  <c r="C20" i="3"/>
  <c r="E20" i="3" s="1"/>
  <c r="C21" i="3"/>
  <c r="E21" i="3" s="1"/>
  <c r="C22" i="3"/>
  <c r="E22" i="3" s="1"/>
  <c r="C23" i="3"/>
  <c r="C24" i="3"/>
  <c r="C25" i="3"/>
  <c r="C26" i="3"/>
  <c r="C27" i="3"/>
  <c r="C28" i="3"/>
  <c r="E28" i="3" s="1"/>
  <c r="C29" i="3"/>
  <c r="E29" i="3" s="1"/>
  <c r="C30" i="3"/>
  <c r="E30" i="3" s="1"/>
  <c r="C31" i="3"/>
  <c r="E31" i="3" s="1"/>
  <c r="C32" i="3"/>
  <c r="E32" i="3" s="1"/>
  <c r="C33" i="3"/>
  <c r="E33" i="3" s="1"/>
  <c r="C34" i="3"/>
  <c r="E34" i="3" s="1"/>
  <c r="C35" i="3"/>
  <c r="C36" i="3"/>
  <c r="C37" i="3"/>
  <c r="C38" i="3"/>
  <c r="C39" i="3"/>
  <c r="C40" i="3"/>
  <c r="E40" i="3" s="1"/>
  <c r="C41" i="3"/>
  <c r="E41" i="3" s="1"/>
  <c r="C42" i="3"/>
  <c r="E42" i="3" s="1"/>
  <c r="C43" i="3"/>
  <c r="E43" i="3" s="1"/>
  <c r="C44" i="3"/>
  <c r="E44" i="3" s="1"/>
  <c r="C45" i="3"/>
  <c r="E45" i="3" s="1"/>
  <c r="C46" i="3"/>
  <c r="E46" i="3" s="1"/>
  <c r="C47" i="3"/>
  <c r="C48" i="3"/>
  <c r="C49" i="3"/>
  <c r="C50" i="3"/>
  <c r="C51" i="3"/>
  <c r="C52" i="3"/>
  <c r="E52" i="3" s="1"/>
  <c r="C53" i="3"/>
  <c r="E53" i="3" s="1"/>
  <c r="C54" i="3"/>
  <c r="E54" i="3" s="1"/>
  <c r="C55" i="3"/>
  <c r="E55" i="3" s="1"/>
  <c r="C56" i="3"/>
  <c r="E56" i="3" s="1"/>
  <c r="C57" i="3"/>
  <c r="E57" i="3" s="1"/>
  <c r="C58" i="3"/>
  <c r="E58" i="3" s="1"/>
  <c r="C59" i="3"/>
  <c r="C60" i="3"/>
  <c r="C61" i="3"/>
  <c r="C62" i="3"/>
  <c r="C63" i="3"/>
  <c r="C64" i="3"/>
  <c r="E64" i="3" s="1"/>
  <c r="C65" i="3"/>
  <c r="E65" i="3" s="1"/>
  <c r="C66" i="3"/>
  <c r="E66" i="3" s="1"/>
  <c r="C67" i="3"/>
  <c r="E67" i="3" s="1"/>
  <c r="C68" i="3"/>
  <c r="E68" i="3" s="1"/>
  <c r="C69" i="3"/>
  <c r="E69" i="3" s="1"/>
  <c r="C70" i="3"/>
  <c r="E70" i="3" s="1"/>
  <c r="C71" i="3"/>
  <c r="C72" i="3"/>
  <c r="C73" i="3"/>
  <c r="C74" i="3"/>
  <c r="C75" i="3"/>
  <c r="C76" i="3"/>
  <c r="E76" i="3" s="1"/>
  <c r="C77" i="3"/>
  <c r="E77" i="3" s="1"/>
  <c r="C78" i="3"/>
  <c r="E78" i="3" s="1"/>
  <c r="C79" i="3"/>
  <c r="E79" i="3" s="1"/>
  <c r="C80" i="3"/>
  <c r="E80" i="3" s="1"/>
  <c r="C81" i="3"/>
  <c r="E81" i="3" s="1"/>
  <c r="C82" i="3"/>
  <c r="E82" i="3" s="1"/>
  <c r="C83" i="3"/>
  <c r="C84" i="3"/>
  <c r="C85" i="3"/>
  <c r="C86" i="3"/>
  <c r="C87" i="3"/>
  <c r="C88" i="3"/>
  <c r="E88" i="3" s="1"/>
  <c r="C89" i="3"/>
  <c r="E89" i="3" s="1"/>
  <c r="C90" i="3"/>
  <c r="E90" i="3" s="1"/>
  <c r="C91" i="3"/>
  <c r="E91" i="3" s="1"/>
  <c r="C92" i="3"/>
  <c r="E92" i="3" s="1"/>
  <c r="C93" i="3"/>
  <c r="E93" i="3" s="1"/>
  <c r="C94" i="3"/>
  <c r="E94" i="3" s="1"/>
  <c r="C95" i="3"/>
  <c r="C96" i="3"/>
  <c r="C97" i="3"/>
  <c r="C98" i="3"/>
  <c r="C99" i="3"/>
  <c r="C100" i="3"/>
  <c r="E100" i="3" s="1"/>
  <c r="C101" i="3"/>
  <c r="E101" i="3" s="1"/>
  <c r="C102" i="3"/>
  <c r="E102" i="3" s="1"/>
  <c r="C103" i="3"/>
  <c r="E103" i="3" s="1"/>
  <c r="C104" i="3"/>
  <c r="E104" i="3" s="1"/>
  <c r="C105" i="3"/>
  <c r="E105" i="3" s="1"/>
  <c r="C106" i="3"/>
  <c r="E106" i="3" s="1"/>
  <c r="C107" i="3"/>
  <c r="C108" i="3"/>
  <c r="C109" i="3"/>
  <c r="C110" i="3"/>
  <c r="C111" i="3"/>
  <c r="C112" i="3"/>
  <c r="E112" i="3" s="1"/>
  <c r="C113" i="3"/>
  <c r="E113" i="3" s="1"/>
  <c r="C114" i="3"/>
  <c r="E114" i="3" s="1"/>
  <c r="C115" i="3"/>
  <c r="E115" i="3" s="1"/>
  <c r="C116" i="3"/>
  <c r="E116" i="3" s="1"/>
  <c r="C117" i="3"/>
  <c r="E117" i="3" s="1"/>
  <c r="C118" i="3"/>
  <c r="E118" i="3" s="1"/>
  <c r="C119" i="3"/>
  <c r="C120" i="3"/>
  <c r="C121" i="3"/>
  <c r="C122" i="3"/>
  <c r="C123" i="3"/>
  <c r="C124" i="3"/>
  <c r="E124" i="3" s="1"/>
  <c r="C125" i="3"/>
  <c r="E125" i="3" s="1"/>
  <c r="C126" i="3"/>
  <c r="E126" i="3" s="1"/>
  <c r="C127" i="3"/>
  <c r="E127" i="3" s="1"/>
  <c r="C128" i="3"/>
  <c r="E128" i="3" s="1"/>
  <c r="C129" i="3"/>
  <c r="E129" i="3" s="1"/>
  <c r="C130" i="3"/>
  <c r="E130" i="3" s="1"/>
  <c r="C131" i="3"/>
  <c r="C132" i="3"/>
  <c r="C133" i="3"/>
  <c r="C134" i="3"/>
  <c r="C135" i="3"/>
  <c r="C136" i="3"/>
  <c r="E136" i="3" s="1"/>
  <c r="C137" i="3"/>
  <c r="E137" i="3" s="1"/>
  <c r="C138" i="3"/>
  <c r="E138" i="3" s="1"/>
  <c r="C139" i="3"/>
  <c r="E139" i="3" s="1"/>
  <c r="C140" i="3"/>
  <c r="E140" i="3" s="1"/>
  <c r="C141" i="3"/>
  <c r="E141" i="3" s="1"/>
  <c r="C142" i="3"/>
  <c r="E142" i="3" s="1"/>
  <c r="C143" i="3"/>
  <c r="C144" i="3"/>
  <c r="C145" i="3"/>
  <c r="C146" i="3"/>
  <c r="C147" i="3"/>
  <c r="C148" i="3"/>
  <c r="E148" i="3" s="1"/>
  <c r="C149" i="3"/>
  <c r="E149" i="3" s="1"/>
  <c r="C150" i="3"/>
  <c r="E150" i="3" s="1"/>
  <c r="C151" i="3"/>
  <c r="E151" i="3" s="1"/>
  <c r="C152" i="3"/>
  <c r="E152" i="3" s="1"/>
  <c r="C153" i="3"/>
  <c r="E153" i="3" s="1"/>
  <c r="C154" i="3"/>
  <c r="E154" i="3" s="1"/>
  <c r="C155" i="3"/>
  <c r="C156" i="3"/>
  <c r="C157" i="3"/>
  <c r="C158" i="3"/>
  <c r="C159" i="3"/>
  <c r="C160" i="3"/>
  <c r="E160" i="3" s="1"/>
  <c r="C161" i="3"/>
  <c r="E161" i="3" s="1"/>
  <c r="C162" i="3"/>
  <c r="E162" i="3" s="1"/>
  <c r="C163" i="3"/>
  <c r="E163" i="3" s="1"/>
  <c r="C164" i="3"/>
  <c r="E164" i="3" s="1"/>
  <c r="C165" i="3"/>
  <c r="E165" i="3" s="1"/>
  <c r="C166" i="3"/>
  <c r="E166" i="3" s="1"/>
  <c r="C167" i="3"/>
  <c r="C168" i="3"/>
  <c r="C169" i="3"/>
  <c r="C170" i="3"/>
  <c r="C171" i="3"/>
  <c r="C172" i="3"/>
  <c r="E172" i="3" s="1"/>
  <c r="C173" i="3"/>
  <c r="E173" i="3" s="1"/>
  <c r="C174" i="3"/>
  <c r="E174" i="3" s="1"/>
  <c r="C175" i="3"/>
  <c r="E175" i="3" s="1"/>
  <c r="C176" i="3"/>
  <c r="E176" i="3" s="1"/>
  <c r="C177" i="3"/>
  <c r="E177" i="3" s="1"/>
  <c r="C178" i="3"/>
  <c r="E178" i="3" s="1"/>
  <c r="C179" i="3"/>
  <c r="C180" i="3"/>
  <c r="C181" i="3"/>
  <c r="C182" i="3"/>
  <c r="C183" i="3"/>
  <c r="C184" i="3"/>
  <c r="E184" i="3" s="1"/>
  <c r="C185" i="3"/>
  <c r="E185" i="3" s="1"/>
  <c r="C186" i="3"/>
  <c r="E186" i="3" s="1"/>
  <c r="C187" i="3"/>
  <c r="E187" i="3" s="1"/>
  <c r="C188" i="3"/>
  <c r="E188" i="3" s="1"/>
  <c r="C189" i="3"/>
  <c r="E189" i="3" s="1"/>
  <c r="C190" i="3"/>
  <c r="E190" i="3" s="1"/>
  <c r="C191" i="3"/>
  <c r="C192" i="3"/>
  <c r="C193" i="3"/>
  <c r="C194" i="3"/>
  <c r="C195" i="3"/>
  <c r="C196" i="3"/>
  <c r="E196" i="3" s="1"/>
  <c r="C197" i="3"/>
  <c r="E197" i="3" s="1"/>
  <c r="C198" i="3"/>
  <c r="E198" i="3" s="1"/>
  <c r="C199" i="3"/>
  <c r="E199" i="3" s="1"/>
  <c r="C200" i="3"/>
  <c r="E200" i="3" s="1"/>
  <c r="C201" i="3"/>
  <c r="E201" i="3" s="1"/>
  <c r="C202" i="3"/>
  <c r="E202" i="3" s="1"/>
  <c r="B4" i="3"/>
  <c r="E4" i="3" s="1"/>
  <c r="B5" i="3"/>
  <c r="E5" i="3" s="1"/>
  <c r="B6" i="3"/>
  <c r="E6" i="3" s="1"/>
  <c r="B7" i="3"/>
  <c r="E7" i="3" s="1"/>
  <c r="B8" i="3"/>
  <c r="E8" i="3" s="1"/>
  <c r="B9" i="3"/>
  <c r="E9" i="3" s="1"/>
  <c r="B10" i="3"/>
  <c r="E10" i="3" s="1"/>
  <c r="B11" i="3"/>
  <c r="E11" i="3" s="1"/>
  <c r="B12" i="3"/>
  <c r="E12" i="3" s="1"/>
  <c r="B13" i="3"/>
  <c r="E13" i="3" s="1"/>
  <c r="B14" i="3"/>
  <c r="E14" i="3" s="1"/>
  <c r="B15" i="3"/>
  <c r="E15" i="3" s="1"/>
  <c r="B16" i="3"/>
  <c r="B17" i="3"/>
  <c r="B18" i="3"/>
  <c r="B19" i="3"/>
  <c r="B20" i="3"/>
  <c r="B21" i="3"/>
  <c r="B22" i="3"/>
  <c r="B23" i="3"/>
  <c r="E23" i="3" s="1"/>
  <c r="B24" i="3"/>
  <c r="E24" i="3" s="1"/>
  <c r="B25" i="3"/>
  <c r="E25" i="3" s="1"/>
  <c r="B26" i="3"/>
  <c r="E26" i="3" s="1"/>
  <c r="B27" i="3"/>
  <c r="E27" i="3" s="1"/>
  <c r="B28" i="3"/>
  <c r="B29" i="3"/>
  <c r="B30" i="3"/>
  <c r="B31" i="3"/>
  <c r="B32" i="3"/>
  <c r="B33" i="3"/>
  <c r="B34" i="3"/>
  <c r="B35" i="3"/>
  <c r="E35" i="3" s="1"/>
  <c r="B36" i="3"/>
  <c r="E36" i="3" s="1"/>
  <c r="B37" i="3"/>
  <c r="E37" i="3" s="1"/>
  <c r="B38" i="3"/>
  <c r="E38" i="3" s="1"/>
  <c r="B39" i="3"/>
  <c r="E39" i="3" s="1"/>
  <c r="B40" i="3"/>
  <c r="B41" i="3"/>
  <c r="B42" i="3"/>
  <c r="B43" i="3"/>
  <c r="B44" i="3"/>
  <c r="B45" i="3"/>
  <c r="B46" i="3"/>
  <c r="B47" i="3"/>
  <c r="E47" i="3" s="1"/>
  <c r="B48" i="3"/>
  <c r="E48" i="3" s="1"/>
  <c r="B49" i="3"/>
  <c r="E49" i="3" s="1"/>
  <c r="B50" i="3"/>
  <c r="E50" i="3" s="1"/>
  <c r="B51" i="3"/>
  <c r="E51" i="3" s="1"/>
  <c r="B52" i="3"/>
  <c r="B53" i="3"/>
  <c r="B54" i="3"/>
  <c r="B55" i="3"/>
  <c r="B56" i="3"/>
  <c r="B57" i="3"/>
  <c r="B58" i="3"/>
  <c r="B59" i="3"/>
  <c r="E59" i="3" s="1"/>
  <c r="B60" i="3"/>
  <c r="E60" i="3" s="1"/>
  <c r="B61" i="3"/>
  <c r="E61" i="3" s="1"/>
  <c r="B62" i="3"/>
  <c r="E62" i="3" s="1"/>
  <c r="B63" i="3"/>
  <c r="E63" i="3" s="1"/>
  <c r="B64" i="3"/>
  <c r="B65" i="3"/>
  <c r="B66" i="3"/>
  <c r="B67" i="3"/>
  <c r="B68" i="3"/>
  <c r="B69" i="3"/>
  <c r="B70" i="3"/>
  <c r="B71" i="3"/>
  <c r="E71" i="3" s="1"/>
  <c r="B72" i="3"/>
  <c r="E72" i="3" s="1"/>
  <c r="B73" i="3"/>
  <c r="E73" i="3" s="1"/>
  <c r="B74" i="3"/>
  <c r="E74" i="3" s="1"/>
  <c r="B75" i="3"/>
  <c r="E75" i="3" s="1"/>
  <c r="B76" i="3"/>
  <c r="B77" i="3"/>
  <c r="B78" i="3"/>
  <c r="B79" i="3"/>
  <c r="B80" i="3"/>
  <c r="B81" i="3"/>
  <c r="B82" i="3"/>
  <c r="B83" i="3"/>
  <c r="E83" i="3" s="1"/>
  <c r="B84" i="3"/>
  <c r="E84" i="3" s="1"/>
  <c r="B85" i="3"/>
  <c r="E85" i="3" s="1"/>
  <c r="B86" i="3"/>
  <c r="E86" i="3" s="1"/>
  <c r="B87" i="3"/>
  <c r="E87" i="3" s="1"/>
  <c r="B88" i="3"/>
  <c r="B89" i="3"/>
  <c r="B90" i="3"/>
  <c r="B91" i="3"/>
  <c r="B92" i="3"/>
  <c r="B93" i="3"/>
  <c r="B94" i="3"/>
  <c r="B95" i="3"/>
  <c r="E95" i="3" s="1"/>
  <c r="B96" i="3"/>
  <c r="E96" i="3" s="1"/>
  <c r="B97" i="3"/>
  <c r="E97" i="3" s="1"/>
  <c r="B98" i="3"/>
  <c r="E98" i="3" s="1"/>
  <c r="B99" i="3"/>
  <c r="E99" i="3" s="1"/>
  <c r="B100" i="3"/>
  <c r="B101" i="3"/>
  <c r="B102" i="3"/>
  <c r="B103" i="3"/>
  <c r="B104" i="3"/>
  <c r="B105" i="3"/>
  <c r="B106" i="3"/>
  <c r="B107" i="3"/>
  <c r="E107" i="3" s="1"/>
  <c r="B108" i="3"/>
  <c r="E108" i="3" s="1"/>
  <c r="B109" i="3"/>
  <c r="E109" i="3" s="1"/>
  <c r="B110" i="3"/>
  <c r="E110" i="3" s="1"/>
  <c r="B111" i="3"/>
  <c r="E111" i="3" s="1"/>
  <c r="B112" i="3"/>
  <c r="B113" i="3"/>
  <c r="B114" i="3"/>
  <c r="B115" i="3"/>
  <c r="B116" i="3"/>
  <c r="B117" i="3"/>
  <c r="B118" i="3"/>
  <c r="B119" i="3"/>
  <c r="E119" i="3" s="1"/>
  <c r="B120" i="3"/>
  <c r="E120" i="3" s="1"/>
  <c r="B121" i="3"/>
  <c r="E121" i="3" s="1"/>
  <c r="B122" i="3"/>
  <c r="E122" i="3" s="1"/>
  <c r="B123" i="3"/>
  <c r="E123" i="3" s="1"/>
  <c r="B124" i="3"/>
  <c r="B125" i="3"/>
  <c r="B126" i="3"/>
  <c r="B127" i="3"/>
  <c r="B128" i="3"/>
  <c r="B129" i="3"/>
  <c r="B130" i="3"/>
  <c r="B131" i="3"/>
  <c r="E131" i="3" s="1"/>
  <c r="B132" i="3"/>
  <c r="E132" i="3" s="1"/>
  <c r="B133" i="3"/>
  <c r="E133" i="3" s="1"/>
  <c r="B134" i="3"/>
  <c r="E134" i="3" s="1"/>
  <c r="B135" i="3"/>
  <c r="E135" i="3" s="1"/>
  <c r="B136" i="3"/>
  <c r="B137" i="3"/>
  <c r="B138" i="3"/>
  <c r="B139" i="3"/>
  <c r="B140" i="3"/>
  <c r="B141" i="3"/>
  <c r="B142" i="3"/>
  <c r="B143" i="3"/>
  <c r="E143" i="3" s="1"/>
  <c r="B144" i="3"/>
  <c r="E144" i="3" s="1"/>
  <c r="B145" i="3"/>
  <c r="E145" i="3" s="1"/>
  <c r="B146" i="3"/>
  <c r="E146" i="3" s="1"/>
  <c r="B147" i="3"/>
  <c r="E147" i="3" s="1"/>
  <c r="B148" i="3"/>
  <c r="B149" i="3"/>
  <c r="B150" i="3"/>
  <c r="B151" i="3"/>
  <c r="B152" i="3"/>
  <c r="B153" i="3"/>
  <c r="B154" i="3"/>
  <c r="B155" i="3"/>
  <c r="E155" i="3" s="1"/>
  <c r="B156" i="3"/>
  <c r="E156" i="3" s="1"/>
  <c r="B157" i="3"/>
  <c r="E157" i="3" s="1"/>
  <c r="B158" i="3"/>
  <c r="E158" i="3" s="1"/>
  <c r="B159" i="3"/>
  <c r="E159" i="3" s="1"/>
  <c r="B160" i="3"/>
  <c r="B161" i="3"/>
  <c r="B162" i="3"/>
  <c r="B163" i="3"/>
  <c r="B164" i="3"/>
  <c r="B165" i="3"/>
  <c r="B166" i="3"/>
  <c r="B167" i="3"/>
  <c r="E167" i="3" s="1"/>
  <c r="B168" i="3"/>
  <c r="E168" i="3" s="1"/>
  <c r="B169" i="3"/>
  <c r="E169" i="3" s="1"/>
  <c r="B170" i="3"/>
  <c r="E170" i="3" s="1"/>
  <c r="B171" i="3"/>
  <c r="E171" i="3" s="1"/>
  <c r="B172" i="3"/>
  <c r="B173" i="3"/>
  <c r="B174" i="3"/>
  <c r="B175" i="3"/>
  <c r="B176" i="3"/>
  <c r="B177" i="3"/>
  <c r="B178" i="3"/>
  <c r="B179" i="3"/>
  <c r="E179" i="3" s="1"/>
  <c r="B180" i="3"/>
  <c r="E180" i="3" s="1"/>
  <c r="B181" i="3"/>
  <c r="E181" i="3" s="1"/>
  <c r="B182" i="3"/>
  <c r="E182" i="3" s="1"/>
  <c r="B183" i="3"/>
  <c r="E183" i="3" s="1"/>
  <c r="B184" i="3"/>
  <c r="B185" i="3"/>
  <c r="B186" i="3"/>
  <c r="B187" i="3"/>
  <c r="B188" i="3"/>
  <c r="B189" i="3"/>
  <c r="B190" i="3"/>
  <c r="B191" i="3"/>
  <c r="E191" i="3" s="1"/>
  <c r="B192" i="3"/>
  <c r="E192" i="3" s="1"/>
  <c r="B193" i="3"/>
  <c r="E193" i="3" s="1"/>
  <c r="B194" i="3"/>
  <c r="E194" i="3" s="1"/>
  <c r="B195" i="3"/>
  <c r="E195" i="3" s="1"/>
  <c r="B196" i="3"/>
  <c r="B197" i="3"/>
  <c r="B198" i="3"/>
  <c r="B199" i="3"/>
  <c r="B200" i="3"/>
  <c r="B201" i="3"/>
  <c r="B20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J2" i="2"/>
  <c r="A3" i="2"/>
  <c r="A4" i="3" s="1"/>
  <c r="A4" i="2"/>
  <c r="A5" i="3" s="1"/>
  <c r="A5" i="2"/>
  <c r="A6" i="3" s="1"/>
  <c r="A6" i="2"/>
  <c r="A7" i="3" s="1"/>
  <c r="A7" i="2"/>
  <c r="A8" i="3" s="1"/>
  <c r="A8" i="2"/>
  <c r="A9" i="3" s="1"/>
  <c r="A9" i="2"/>
  <c r="A10" i="3" s="1"/>
  <c r="A10" i="2"/>
  <c r="A11" i="3" s="1"/>
  <c r="A11" i="2"/>
  <c r="A12" i="3" s="1"/>
  <c r="A12" i="2"/>
  <c r="A13" i="3" s="1"/>
  <c r="A13" i="2"/>
  <c r="A14" i="3" s="1"/>
  <c r="A14" i="2"/>
  <c r="A15" i="3" s="1"/>
  <c r="A15" i="2"/>
  <c r="A16" i="3" s="1"/>
  <c r="A16" i="2"/>
  <c r="A17" i="3" s="1"/>
  <c r="A17" i="2"/>
  <c r="A18" i="3" s="1"/>
  <c r="A18" i="2"/>
  <c r="A19" i="3" s="1"/>
  <c r="A19" i="2"/>
  <c r="A20" i="3" s="1"/>
  <c r="A20" i="2"/>
  <c r="A21" i="3" s="1"/>
  <c r="A21" i="2"/>
  <c r="A22" i="3" s="1"/>
  <c r="A22" i="2"/>
  <c r="A23" i="3" s="1"/>
  <c r="A23" i="2"/>
  <c r="A24" i="3" s="1"/>
  <c r="A24" i="2"/>
  <c r="A25" i="3" s="1"/>
  <c r="A25" i="2"/>
  <c r="A26" i="3" s="1"/>
  <c r="A26" i="2"/>
  <c r="A27" i="3" s="1"/>
  <c r="A27" i="2"/>
  <c r="A28" i="3" s="1"/>
  <c r="A28" i="2"/>
  <c r="A29" i="3" s="1"/>
  <c r="A29" i="2"/>
  <c r="A30" i="3" s="1"/>
  <c r="A30" i="2"/>
  <c r="A31" i="3" s="1"/>
  <c r="A31" i="2"/>
  <c r="A32" i="3" s="1"/>
  <c r="A32" i="2"/>
  <c r="A33" i="3" s="1"/>
  <c r="A33" i="2"/>
  <c r="A34" i="3" s="1"/>
  <c r="A34" i="2"/>
  <c r="A35" i="3" s="1"/>
  <c r="A35" i="2"/>
  <c r="A36" i="3" s="1"/>
  <c r="A36" i="2"/>
  <c r="A37" i="3" s="1"/>
  <c r="A37" i="2"/>
  <c r="A38" i="3" s="1"/>
  <c r="A38" i="2"/>
  <c r="A39" i="3" s="1"/>
  <c r="A39" i="2"/>
  <c r="A40" i="3" s="1"/>
  <c r="A40" i="2"/>
  <c r="A41" i="3" s="1"/>
  <c r="A41" i="2"/>
  <c r="A42" i="3" s="1"/>
  <c r="A42" i="2"/>
  <c r="A43" i="3" s="1"/>
  <c r="A43" i="2"/>
  <c r="A44" i="3" s="1"/>
  <c r="A44" i="2"/>
  <c r="A45" i="3" s="1"/>
  <c r="A45" i="2"/>
  <c r="A46" i="3" s="1"/>
  <c r="A46" i="2"/>
  <c r="A47" i="3" s="1"/>
  <c r="A47" i="2"/>
  <c r="A48" i="3" s="1"/>
  <c r="A48" i="2"/>
  <c r="A49" i="3" s="1"/>
  <c r="A49" i="2"/>
  <c r="A50" i="3" s="1"/>
  <c r="A50" i="2"/>
  <c r="A51" i="3" s="1"/>
  <c r="A51" i="2"/>
  <c r="A52" i="3" s="1"/>
  <c r="A52" i="2"/>
  <c r="A53" i="3" s="1"/>
  <c r="A53" i="2"/>
  <c r="A54" i="3" s="1"/>
  <c r="A54" i="2"/>
  <c r="A55" i="3" s="1"/>
  <c r="A55" i="2"/>
  <c r="A56" i="3" s="1"/>
  <c r="A56" i="2"/>
  <c r="A57" i="3" s="1"/>
  <c r="A57" i="2"/>
  <c r="A58" i="3" s="1"/>
  <c r="A58" i="2"/>
  <c r="A59" i="3" s="1"/>
  <c r="A59" i="2"/>
  <c r="A60" i="3" s="1"/>
  <c r="A60" i="2"/>
  <c r="A61" i="3" s="1"/>
  <c r="A61" i="2"/>
  <c r="A62" i="3" s="1"/>
  <c r="A62" i="2"/>
  <c r="A63" i="3" s="1"/>
  <c r="A63" i="2"/>
  <c r="A64" i="3" s="1"/>
  <c r="A64" i="2"/>
  <c r="A65" i="3" s="1"/>
  <c r="A65" i="2"/>
  <c r="A66" i="3" s="1"/>
  <c r="A66" i="2"/>
  <c r="A67" i="3" s="1"/>
  <c r="A67" i="2"/>
  <c r="A68" i="3" s="1"/>
  <c r="A68" i="2"/>
  <c r="A69" i="3" s="1"/>
  <c r="A69" i="2"/>
  <c r="A70" i="3" s="1"/>
  <c r="A70" i="2"/>
  <c r="A71" i="3" s="1"/>
  <c r="A71" i="2"/>
  <c r="A72" i="3" s="1"/>
  <c r="A72" i="2"/>
  <c r="A73" i="3" s="1"/>
  <c r="A73" i="2"/>
  <c r="A74" i="3" s="1"/>
  <c r="A74" i="2"/>
  <c r="A75" i="3" s="1"/>
  <c r="A75" i="2"/>
  <c r="A76" i="3" s="1"/>
  <c r="A76" i="2"/>
  <c r="A77" i="3" s="1"/>
  <c r="A77" i="2"/>
  <c r="A78" i="3" s="1"/>
  <c r="A78" i="2"/>
  <c r="A79" i="3" s="1"/>
  <c r="A79" i="2"/>
  <c r="A80" i="3" s="1"/>
  <c r="A80" i="2"/>
  <c r="A81" i="3" s="1"/>
  <c r="A81" i="2"/>
  <c r="A82" i="3" s="1"/>
  <c r="A82" i="2"/>
  <c r="A83" i="3" s="1"/>
  <c r="A83" i="2"/>
  <c r="A84" i="3" s="1"/>
  <c r="A84" i="2"/>
  <c r="A85" i="3" s="1"/>
  <c r="A85" i="2"/>
  <c r="A86" i="3" s="1"/>
  <c r="A86" i="2"/>
  <c r="A87" i="3" s="1"/>
  <c r="A87" i="2"/>
  <c r="A88" i="3" s="1"/>
  <c r="A88" i="2"/>
  <c r="A89" i="3" s="1"/>
  <c r="A89" i="2"/>
  <c r="A90" i="3" s="1"/>
  <c r="A90" i="2"/>
  <c r="A91" i="3" s="1"/>
  <c r="A91" i="2"/>
  <c r="A92" i="3" s="1"/>
  <c r="A92" i="2"/>
  <c r="A93" i="3" s="1"/>
  <c r="A93" i="2"/>
  <c r="A94" i="3" s="1"/>
  <c r="A94" i="2"/>
  <c r="A95" i="3" s="1"/>
  <c r="A95" i="2"/>
  <c r="A96" i="3" s="1"/>
  <c r="A96" i="2"/>
  <c r="A97" i="3" s="1"/>
  <c r="A97" i="2"/>
  <c r="A98" i="3" s="1"/>
  <c r="A98" i="2"/>
  <c r="A99" i="3" s="1"/>
  <c r="A99" i="2"/>
  <c r="A100" i="3" s="1"/>
  <c r="A100" i="2"/>
  <c r="A101" i="3" s="1"/>
  <c r="A101" i="2"/>
  <c r="A102" i="3" s="1"/>
  <c r="A102" i="2"/>
  <c r="A103" i="3" s="1"/>
  <c r="A103" i="2"/>
  <c r="A104" i="3" s="1"/>
  <c r="A104" i="2"/>
  <c r="A105" i="3" s="1"/>
  <c r="A105" i="2"/>
  <c r="A106" i="3" s="1"/>
  <c r="A106" i="2"/>
  <c r="A107" i="3" s="1"/>
  <c r="A107" i="2"/>
  <c r="A108" i="3" s="1"/>
  <c r="A108" i="2"/>
  <c r="A109" i="3" s="1"/>
  <c r="A109" i="2"/>
  <c r="A110" i="3" s="1"/>
  <c r="A110" i="2"/>
  <c r="A111" i="3" s="1"/>
  <c r="A111" i="2"/>
  <c r="A112" i="3" s="1"/>
  <c r="A112" i="2"/>
  <c r="A113" i="3" s="1"/>
  <c r="A113" i="2"/>
  <c r="A114" i="3" s="1"/>
  <c r="A114" i="2"/>
  <c r="A115" i="3" s="1"/>
  <c r="A115" i="2"/>
  <c r="A116" i="3" s="1"/>
  <c r="A116" i="2"/>
  <c r="A117" i="3" s="1"/>
  <c r="A117" i="2"/>
  <c r="A118" i="3" s="1"/>
  <c r="A118" i="2"/>
  <c r="A119" i="3" s="1"/>
  <c r="A119" i="2"/>
  <c r="A120" i="3" s="1"/>
  <c r="A120" i="2"/>
  <c r="A121" i="3" s="1"/>
  <c r="A121" i="2"/>
  <c r="A122" i="3" s="1"/>
  <c r="A122" i="2"/>
  <c r="A123" i="3" s="1"/>
  <c r="A123" i="2"/>
  <c r="A124" i="3" s="1"/>
  <c r="A124" i="2"/>
  <c r="A125" i="3" s="1"/>
  <c r="A125" i="2"/>
  <c r="A126" i="3" s="1"/>
  <c r="A126" i="2"/>
  <c r="A127" i="3" s="1"/>
  <c r="A127" i="2"/>
  <c r="A128" i="3" s="1"/>
  <c r="A128" i="2"/>
  <c r="A129" i="3" s="1"/>
  <c r="A129" i="2"/>
  <c r="A130" i="3" s="1"/>
  <c r="A130" i="2"/>
  <c r="A131" i="3" s="1"/>
  <c r="A131" i="2"/>
  <c r="A132" i="3" s="1"/>
  <c r="A132" i="2"/>
  <c r="A133" i="3" s="1"/>
  <c r="A133" i="2"/>
  <c r="A134" i="3" s="1"/>
  <c r="A134" i="2"/>
  <c r="A135" i="3" s="1"/>
  <c r="A135" i="2"/>
  <c r="A136" i="3" s="1"/>
  <c r="A136" i="2"/>
  <c r="A137" i="3" s="1"/>
  <c r="A137" i="2"/>
  <c r="A138" i="3" s="1"/>
  <c r="A138" i="2"/>
  <c r="A139" i="3" s="1"/>
  <c r="A139" i="2"/>
  <c r="A140" i="3" s="1"/>
  <c r="A140" i="2"/>
  <c r="A141" i="3" s="1"/>
  <c r="A141" i="2"/>
  <c r="A142" i="3" s="1"/>
  <c r="A142" i="2"/>
  <c r="A143" i="3" s="1"/>
  <c r="A143" i="2"/>
  <c r="A144" i="3" s="1"/>
  <c r="A144" i="2"/>
  <c r="A145" i="3" s="1"/>
  <c r="A145" i="2"/>
  <c r="A146" i="3" s="1"/>
  <c r="A146" i="2"/>
  <c r="A147" i="3" s="1"/>
  <c r="A147" i="2"/>
  <c r="A148" i="3" s="1"/>
  <c r="A148" i="2"/>
  <c r="A149" i="3" s="1"/>
  <c r="A149" i="2"/>
  <c r="A150" i="3" s="1"/>
  <c r="A150" i="2"/>
  <c r="A151" i="3" s="1"/>
  <c r="A151" i="2"/>
  <c r="A152" i="3" s="1"/>
  <c r="A152" i="2"/>
  <c r="A153" i="3" s="1"/>
  <c r="A153" i="2"/>
  <c r="A154" i="3" s="1"/>
  <c r="A154" i="2"/>
  <c r="A155" i="3" s="1"/>
  <c r="A155" i="2"/>
  <c r="A156" i="3" s="1"/>
  <c r="A156" i="2"/>
  <c r="A157" i="3" s="1"/>
  <c r="A157" i="2"/>
  <c r="A158" i="3" s="1"/>
  <c r="A158" i="2"/>
  <c r="A159" i="3" s="1"/>
  <c r="A159" i="2"/>
  <c r="A160" i="3" s="1"/>
  <c r="A160" i="2"/>
  <c r="A161" i="3" s="1"/>
  <c r="A161" i="2"/>
  <c r="A162" i="3" s="1"/>
  <c r="A162" i="2"/>
  <c r="A163" i="3" s="1"/>
  <c r="A163" i="2"/>
  <c r="A164" i="3" s="1"/>
  <c r="A164" i="2"/>
  <c r="A165" i="3" s="1"/>
  <c r="A165" i="2"/>
  <c r="A166" i="3" s="1"/>
  <c r="A166" i="2"/>
  <c r="A167" i="3" s="1"/>
  <c r="A167" i="2"/>
  <c r="A168" i="3" s="1"/>
  <c r="A168" i="2"/>
  <c r="A169" i="3" s="1"/>
  <c r="A169" i="2"/>
  <c r="A170" i="3" s="1"/>
  <c r="A170" i="2"/>
  <c r="A171" i="3" s="1"/>
  <c r="A171" i="2"/>
  <c r="A172" i="3" s="1"/>
  <c r="A172" i="2"/>
  <c r="A173" i="3" s="1"/>
  <c r="A173" i="2"/>
  <c r="A174" i="3" s="1"/>
  <c r="A174" i="2"/>
  <c r="A175" i="3" s="1"/>
  <c r="A175" i="2"/>
  <c r="A176" i="3" s="1"/>
  <c r="A176" i="2"/>
  <c r="A177" i="3" s="1"/>
  <c r="A177" i="2"/>
  <c r="A178" i="3" s="1"/>
  <c r="A178" i="2"/>
  <c r="A179" i="3" s="1"/>
  <c r="A179" i="2"/>
  <c r="A180" i="3" s="1"/>
  <c r="A180" i="2"/>
  <c r="A181" i="3" s="1"/>
  <c r="A181" i="2"/>
  <c r="A182" i="3" s="1"/>
  <c r="A182" i="2"/>
  <c r="A183" i="3" s="1"/>
  <c r="A183" i="2"/>
  <c r="A184" i="3" s="1"/>
  <c r="A184" i="2"/>
  <c r="A185" i="3" s="1"/>
  <c r="A185" i="2"/>
  <c r="A186" i="3" s="1"/>
  <c r="A186" i="2"/>
  <c r="A187" i="3" s="1"/>
  <c r="A187" i="2"/>
  <c r="A188" i="3" s="1"/>
  <c r="A188" i="2"/>
  <c r="A189" i="3" s="1"/>
  <c r="A189" i="2"/>
  <c r="A190" i="3" s="1"/>
  <c r="A190" i="2"/>
  <c r="A191" i="3" s="1"/>
  <c r="A191" i="2"/>
  <c r="A192" i="3" s="1"/>
  <c r="A192" i="2"/>
  <c r="A193" i="3" s="1"/>
  <c r="A193" i="2"/>
  <c r="A194" i="3" s="1"/>
  <c r="A194" i="2"/>
  <c r="A195" i="3" s="1"/>
  <c r="A195" i="2"/>
  <c r="A196" i="3" s="1"/>
  <c r="A196" i="2"/>
  <c r="A197" i="3" s="1"/>
  <c r="A197" i="2"/>
  <c r="A198" i="3" s="1"/>
  <c r="A198" i="2"/>
  <c r="A199" i="3" s="1"/>
  <c r="A199" i="2"/>
  <c r="A200" i="3" s="1"/>
  <c r="A200" i="2"/>
  <c r="A201" i="3" s="1"/>
  <c r="A201" i="2"/>
  <c r="A202" i="3" s="1"/>
  <c r="A2" i="2"/>
  <c r="A3" i="3" s="1"/>
  <c r="G3" i="3" l="1"/>
  <c r="H29" i="3" l="1"/>
  <c r="H88" i="3"/>
  <c r="H147" i="3"/>
  <c r="H173" i="3"/>
  <c r="H4" i="3"/>
  <c r="H63" i="3"/>
  <c r="H89" i="3"/>
  <c r="H148" i="3"/>
  <c r="H64" i="3"/>
  <c r="H123" i="3"/>
  <c r="H13" i="3"/>
  <c r="H39" i="3"/>
  <c r="H157" i="3"/>
  <c r="H40" i="3"/>
  <c r="H125" i="3"/>
  <c r="H5" i="3"/>
  <c r="H149" i="3"/>
  <c r="H65" i="3"/>
  <c r="H124" i="3"/>
  <c r="H183" i="3"/>
  <c r="H14" i="3"/>
  <c r="H73" i="3"/>
  <c r="H99" i="3"/>
  <c r="H158" i="3"/>
  <c r="H184" i="3"/>
  <c r="H182" i="3"/>
  <c r="H42" i="3"/>
  <c r="H186" i="3"/>
  <c r="H142" i="3"/>
  <c r="H156" i="3"/>
  <c r="H139" i="3"/>
  <c r="H154" i="3"/>
  <c r="H8" i="3"/>
  <c r="H152" i="3"/>
  <c r="H201" i="3"/>
  <c r="H3" i="3"/>
  <c r="H28" i="3"/>
  <c r="H109" i="3"/>
  <c r="H197" i="3"/>
  <c r="H25" i="3"/>
  <c r="H122" i="3"/>
  <c r="H198" i="3"/>
  <c r="H166" i="3"/>
  <c r="H7" i="3"/>
  <c r="H202" i="3"/>
  <c r="H20" i="3"/>
  <c r="H10" i="3"/>
  <c r="H171" i="3"/>
  <c r="H145" i="3"/>
  <c r="H98" i="3"/>
  <c r="H190" i="3"/>
  <c r="H163" i="3"/>
  <c r="H32" i="3"/>
  <c r="H58" i="3"/>
  <c r="H112" i="3"/>
  <c r="H86" i="3"/>
  <c r="H62" i="3"/>
  <c r="H33" i="3"/>
  <c r="H35" i="3"/>
  <c r="H175" i="3"/>
  <c r="H44" i="3"/>
  <c r="H94" i="3"/>
  <c r="H53" i="3"/>
  <c r="H133" i="3"/>
  <c r="H90" i="3"/>
  <c r="H59" i="3"/>
  <c r="H187" i="3"/>
  <c r="H56" i="3"/>
  <c r="H130" i="3"/>
  <c r="H132" i="3"/>
  <c r="H193" i="3"/>
  <c r="H100" i="3"/>
  <c r="H181" i="3"/>
  <c r="H105" i="3"/>
  <c r="H55" i="3"/>
  <c r="H155" i="3"/>
  <c r="H21" i="3"/>
  <c r="H168" i="3"/>
  <c r="H160" i="3"/>
  <c r="H74" i="3"/>
  <c r="H114" i="3"/>
  <c r="H143" i="3"/>
  <c r="H57" i="3"/>
  <c r="H80" i="3"/>
  <c r="H11" i="3"/>
  <c r="H136" i="3"/>
  <c r="H111" i="3"/>
  <c r="H97" i="3"/>
  <c r="H153" i="3"/>
  <c r="H79" i="3"/>
  <c r="H36" i="3"/>
  <c r="H81" i="3"/>
  <c r="H172" i="3"/>
  <c r="H101" i="3"/>
  <c r="H85" i="3"/>
  <c r="H37" i="3"/>
  <c r="H177" i="3"/>
  <c r="H91" i="3"/>
  <c r="H72" i="3"/>
  <c r="H93" i="3"/>
  <c r="H146" i="3"/>
  <c r="H51" i="3"/>
  <c r="H52" i="3"/>
  <c r="H6" i="3"/>
  <c r="H22" i="3"/>
  <c r="H103" i="3"/>
  <c r="H108" i="3"/>
  <c r="H117" i="3"/>
  <c r="H107" i="3"/>
  <c r="H194" i="3"/>
  <c r="H54" i="3"/>
  <c r="H151" i="3"/>
  <c r="H164" i="3"/>
  <c r="H12" i="3"/>
  <c r="H76" i="3"/>
  <c r="H185" i="3"/>
  <c r="H66" i="3"/>
  <c r="H9" i="3"/>
  <c r="H19" i="3"/>
  <c r="H23" i="3"/>
  <c r="H176" i="3"/>
  <c r="H60" i="3"/>
  <c r="H50" i="3"/>
  <c r="H159" i="3"/>
  <c r="H78" i="3"/>
  <c r="H31" i="3"/>
  <c r="H83" i="3"/>
  <c r="H188" i="3"/>
  <c r="H96" i="3"/>
  <c r="H17" i="3"/>
  <c r="H27" i="3"/>
  <c r="H38" i="3"/>
  <c r="H69" i="3"/>
  <c r="H43" i="3"/>
  <c r="H119" i="3"/>
  <c r="H200" i="3"/>
  <c r="H137" i="3"/>
  <c r="H196" i="3"/>
  <c r="H102" i="3"/>
  <c r="H95" i="3"/>
  <c r="H199" i="3"/>
  <c r="H68" i="3"/>
  <c r="H178" i="3"/>
  <c r="H195" i="3"/>
  <c r="H170" i="3"/>
  <c r="H121" i="3"/>
  <c r="H129" i="3"/>
  <c r="H67" i="3"/>
  <c r="H191" i="3"/>
  <c r="H45" i="3"/>
  <c r="H192" i="3"/>
  <c r="H134" i="3"/>
  <c r="H41" i="3"/>
  <c r="H126" i="3"/>
  <c r="H179" i="3"/>
  <c r="H189" i="3"/>
  <c r="H92" i="3"/>
  <c r="H47" i="3"/>
  <c r="H77" i="3"/>
  <c r="H15" i="3"/>
  <c r="H138" i="3"/>
  <c r="H24" i="3"/>
  <c r="H34" i="3"/>
  <c r="H104" i="3"/>
  <c r="H71" i="3"/>
  <c r="H75" i="3"/>
  <c r="H150" i="3"/>
  <c r="H48" i="3"/>
  <c r="H70" i="3"/>
  <c r="H116" i="3"/>
  <c r="H113" i="3"/>
  <c r="H49" i="3"/>
  <c r="H180" i="3"/>
  <c r="H30" i="3"/>
  <c r="H135" i="3"/>
  <c r="H118" i="3"/>
  <c r="H161" i="3"/>
  <c r="H82" i="3"/>
  <c r="H61" i="3"/>
  <c r="H127" i="3"/>
  <c r="H87" i="3"/>
  <c r="H115" i="3"/>
  <c r="H167" i="3"/>
  <c r="H120" i="3"/>
  <c r="H131" i="3"/>
  <c r="H84" i="3"/>
  <c r="H165" i="3"/>
  <c r="H106" i="3"/>
  <c r="H110" i="3"/>
  <c r="H141" i="3"/>
  <c r="H46" i="3"/>
  <c r="H169" i="3"/>
  <c r="H140" i="3"/>
  <c r="H174" i="3"/>
  <c r="H26" i="3"/>
  <c r="H128" i="3"/>
  <c r="H162" i="3"/>
  <c r="H16" i="3"/>
  <c r="H144" i="3"/>
  <c r="H18" i="3"/>
  <c r="J3" i="3" l="1"/>
  <c r="I3" i="3"/>
</calcChain>
</file>

<file path=xl/sharedStrings.xml><?xml version="1.0" encoding="utf-8"?>
<sst xmlns="http://schemas.openxmlformats.org/spreadsheetml/2006/main" count="441" uniqueCount="295">
  <si>
    <t>Customer_ID</t>
  </si>
  <si>
    <t>Revenue</t>
  </si>
  <si>
    <t>Cost_to_Serve</t>
  </si>
  <si>
    <t>Orders</t>
  </si>
  <si>
    <t>Return_Rate</t>
  </si>
  <si>
    <t>Support_Tickets</t>
  </si>
  <si>
    <t>Tenure_Months</t>
  </si>
  <si>
    <t>C001</t>
  </si>
  <si>
    <t>C002</t>
  </si>
  <si>
    <t>15%</t>
  </si>
  <si>
    <t>C003</t>
  </si>
  <si>
    <t>C004</t>
  </si>
  <si>
    <t>C005</t>
  </si>
  <si>
    <t>C006</t>
  </si>
  <si>
    <t>12%</t>
  </si>
  <si>
    <t>C007</t>
  </si>
  <si>
    <t>C008</t>
  </si>
  <si>
    <t>C009</t>
  </si>
  <si>
    <t>C010</t>
  </si>
  <si>
    <t>C011</t>
  </si>
  <si>
    <t>C012</t>
  </si>
  <si>
    <t>6%</t>
  </si>
  <si>
    <t>C013</t>
  </si>
  <si>
    <t>21%</t>
  </si>
  <si>
    <t>C014</t>
  </si>
  <si>
    <t>C015</t>
  </si>
  <si>
    <t>19%</t>
  </si>
  <si>
    <t>C016</t>
  </si>
  <si>
    <t>C017</t>
  </si>
  <si>
    <t>C018</t>
  </si>
  <si>
    <t>13%</t>
  </si>
  <si>
    <t>C019</t>
  </si>
  <si>
    <t>C020</t>
  </si>
  <si>
    <t>C021</t>
  </si>
  <si>
    <t>C022</t>
  </si>
  <si>
    <t>30%</t>
  </si>
  <si>
    <t>C023</t>
  </si>
  <si>
    <t>C024</t>
  </si>
  <si>
    <t>C025</t>
  </si>
  <si>
    <t>C026</t>
  </si>
  <si>
    <t>7%</t>
  </si>
  <si>
    <t>C027</t>
  </si>
  <si>
    <t>C028</t>
  </si>
  <si>
    <t>C029</t>
  </si>
  <si>
    <t>3%</t>
  </si>
  <si>
    <t>C030</t>
  </si>
  <si>
    <t/>
  </si>
  <si>
    <t>24%</t>
  </si>
  <si>
    <t>C031</t>
  </si>
  <si>
    <t>C032</t>
  </si>
  <si>
    <t>C033</t>
  </si>
  <si>
    <t>C034</t>
  </si>
  <si>
    <t>C035</t>
  </si>
  <si>
    <t>C036</t>
  </si>
  <si>
    <t>8%</t>
  </si>
  <si>
    <t>C037</t>
  </si>
  <si>
    <t>23%</t>
  </si>
  <si>
    <t>C038</t>
  </si>
  <si>
    <t>C039</t>
  </si>
  <si>
    <t>C040</t>
  </si>
  <si>
    <t>C041</t>
  </si>
  <si>
    <t>C042</t>
  </si>
  <si>
    <t>17%</t>
  </si>
  <si>
    <t>C043</t>
  </si>
  <si>
    <t>C044</t>
  </si>
  <si>
    <t>C045</t>
  </si>
  <si>
    <t>C046</t>
  </si>
  <si>
    <t>C047</t>
  </si>
  <si>
    <t>C048</t>
  </si>
  <si>
    <t>25%</t>
  </si>
  <si>
    <t>C049</t>
  </si>
  <si>
    <t>C050</t>
  </si>
  <si>
    <t>10%</t>
  </si>
  <si>
    <t>C051</t>
  </si>
  <si>
    <t>C052</t>
  </si>
  <si>
    <t>C053</t>
  </si>
  <si>
    <t>C054</t>
  </si>
  <si>
    <t>C055</t>
  </si>
  <si>
    <t>C056</t>
  </si>
  <si>
    <t>C057</t>
  </si>
  <si>
    <t>C058</t>
  </si>
  <si>
    <t>28%</t>
  </si>
  <si>
    <t>C059</t>
  </si>
  <si>
    <t>C060</t>
  </si>
  <si>
    <t>C061</t>
  </si>
  <si>
    <t>C062</t>
  </si>
  <si>
    <t>20%</t>
  </si>
  <si>
    <t>C063</t>
  </si>
  <si>
    <t>C064</t>
  </si>
  <si>
    <t>C065</t>
  </si>
  <si>
    <t>22%</t>
  </si>
  <si>
    <t>C066</t>
  </si>
  <si>
    <t>C067</t>
  </si>
  <si>
    <t>9%</t>
  </si>
  <si>
    <t>C068</t>
  </si>
  <si>
    <t>C069</t>
  </si>
  <si>
    <t>C070</t>
  </si>
  <si>
    <t>C071</t>
  </si>
  <si>
    <t>C072</t>
  </si>
  <si>
    <t>C073</t>
  </si>
  <si>
    <t>4%</t>
  </si>
  <si>
    <t>C074</t>
  </si>
  <si>
    <t>C075</t>
  </si>
  <si>
    <t>C076</t>
  </si>
  <si>
    <t>C077</t>
  </si>
  <si>
    <t>C078</t>
  </si>
  <si>
    <t>1%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</si>
  <si>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</si>
  <si>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</si>
  <si>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</si>
  <si>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</si>
  <si>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</si>
  <si>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</si>
  <si>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</si>
  <si>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</si>
  <si>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</si>
  <si>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</si>
  <si>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</si>
  <si>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</si>
  <si>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</si>
  <si>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2%</t>
  </si>
  <si>
    <t>C092</t>
  </si>
  <si>
    <t>C093</t>
  </si>
  <si>
    <t>16%</t>
  </si>
  <si>
    <t>C094</t>
  </si>
  <si>
    <t>C095</t>
  </si>
  <si>
    <t>C096</t>
  </si>
  <si>
    <t>14%</t>
  </si>
  <si>
    <t>C097</t>
  </si>
  <si>
    <t>27%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</si>
  <si>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</si>
  <si>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</si>
  <si>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</si>
  <si>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</si>
  <si>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</si>
  <si>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</si>
  <si>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</si>
  <si>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</si>
  <si>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</si>
  <si>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</si>
  <si>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</si>
  <si>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26%</t>
  </si>
  <si>
    <t>C109</t>
  </si>
  <si>
    <t>C110</t>
  </si>
  <si>
    <t>C111</t>
  </si>
  <si>
    <t>C112</t>
  </si>
  <si>
    <t>C113</t>
  </si>
  <si>
    <t>11%</t>
  </si>
  <si>
    <t>C114</t>
  </si>
  <si>
    <t>5%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</si>
  <si>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</si>
  <si>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</si>
  <si>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</si>
  <si>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</si>
  <si>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</si>
  <si>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</si>
  <si>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</si>
  <si>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</si>
  <si>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</si>
  <si>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</si>
  <si>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</si>
  <si>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</si>
  <si>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</si>
  <si>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</si>
  <si>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</si>
  <si>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</si>
  <si>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29%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</si>
  <si>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</si>
  <si>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</si>
  <si>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</si>
  <si>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</si>
  <si>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</si>
  <si>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</si>
  <si>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</si>
  <si>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</si>
  <si>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</si>
  <si>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</si>
  <si>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</si>
  <si>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</si>
  <si>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</si>
  <si>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</si>
  <si>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</si>
  <si>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</si>
  <si>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</si>
  <si>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</si>
  <si>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</si>
  <si>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</si>
  <si>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</si>
  <si>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</si>
  <si>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</si>
  <si>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</si>
  <si>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</si>
  <si>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</si>
  <si>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</si>
  <si>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</si>
  <si>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</si>
  <si>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</si>
  <si>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</si>
  <si>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</si>
  <si>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</si>
  <si>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</si>
  <si>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</si>
  <si>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</si>
  <si>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</si>
  <si>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</si>
  <si>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18%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</si>
  <si>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</si>
  <si>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</si>
  <si>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</si>
  <si>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</si>
  <si>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</si>
  <si>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</si>
  <si>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</si>
  <si>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</si>
  <si>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</si>
  <si>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</si>
  <si>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</si>
  <si>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</si>
  <si>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</si>
  <si>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</si>
  <si>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</si>
  <si>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</si>
  <si>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</si>
  <si>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</si>
  <si>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</si>
  <si>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</si>
  <si>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</si>
  <si>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</si>
  <si>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</si>
  <si>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</si>
  <si>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</si>
  <si>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</si>
  <si>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</si>
  <si>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</si>
  <si>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</si>
  <si>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</si>
  <si>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</si>
  <si>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</si>
  <si>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Return_Rate_Clean</t>
  </si>
  <si>
    <t>Median_Cost</t>
  </si>
  <si>
    <t>Cost_Clean</t>
  </si>
  <si>
    <t>Revenue_Outlier</t>
  </si>
  <si>
    <t>Customer_Profit</t>
  </si>
  <si>
    <t>Revenue_Threshold</t>
  </si>
  <si>
    <t>Profit_Threshold</t>
  </si>
  <si>
    <t>Customer_Segment</t>
  </si>
  <si>
    <t>High Rev – Low Profit</t>
  </si>
  <si>
    <t>High Rev – High Profit</t>
  </si>
  <si>
    <t>Row Labels</t>
  </si>
  <si>
    <t>Low Rev – High Profit</t>
  </si>
  <si>
    <t>Low Rev – Low Profit</t>
  </si>
  <si>
    <t>Grand Total</t>
  </si>
  <si>
    <t>Sum of Revenue</t>
  </si>
  <si>
    <t>Sum of Customer_Profit</t>
  </si>
  <si>
    <t>Sum of Margin</t>
  </si>
  <si>
    <t>Segment</t>
  </si>
  <si>
    <t>Key Insight</t>
  </si>
  <si>
    <t>Business Action</t>
  </si>
  <si>
    <t>Core profit driver</t>
  </si>
  <si>
    <t>Retain, loyalty, premium support</t>
  </si>
  <si>
    <t>Revenue strong, margin weak</t>
  </si>
  <si>
    <t>Cost optimization, pricing review</t>
  </si>
  <si>
    <t>Highest efficiency</t>
  </si>
  <si>
    <t>Upsell, scale acquisition</t>
  </si>
  <si>
    <t>High volume, low return</t>
  </si>
  <si>
    <t>Automate, prune, or reprice</t>
  </si>
  <si>
    <t>Profit</t>
  </si>
  <si>
    <t>Margin</t>
  </si>
  <si>
    <t>Segment 1: High Revenue – High Profit</t>
  </si>
  <si>
    <t>Insight:</t>
  </si>
  <si>
    <t>This segment contributes the highest share of total profit while also driving top-line revenue</t>
  </si>
  <si>
    <t xml:space="preserve">Business Meaning: </t>
  </si>
  <si>
    <t>These customers are the most efficient and valuable; pricing, costs, and return behavior are all working in the company’s favor.</t>
  </si>
  <si>
    <t xml:space="preserve">Action: </t>
  </si>
  <si>
    <t>Retain aggressively, avoid heavy discounting, and use this segment as the benchmark for defining the ideal customer profile.</t>
  </si>
  <si>
    <t>Segment 2: High Revenue – Low Profit</t>
  </si>
  <si>
    <t>Despite strong revenue, profitability is weak due to high costs, returns, or discounts.</t>
  </si>
  <si>
    <t>Revenue alone is misleading here — this segment puts pressure on margins and operational efficiency.</t>
  </si>
  <si>
    <t>Investigate cost drivers, tighten discount policies, reduce returns, or renegotiate pricing to restore profitability.</t>
  </si>
  <si>
    <t>Segment 3: Low Revenue – High Profit</t>
  </si>
  <si>
    <t>This segment delivers strong margins but contributes limited overall revenue.</t>
  </si>
  <si>
    <t>These customers are efficient but under-scaled, indicating missed growth potential.</t>
  </si>
  <si>
    <t>Target selectively for upselling and cross-selling to increase revenue without sacrificing margins.</t>
  </si>
  <si>
    <t>Segment 4: Low Revenue – Low Profit</t>
  </si>
  <si>
    <t>This segment generates minimal revenue and weak profitability, offering the least business value.</t>
  </si>
  <si>
    <t>These customers consume resources without meaningful financial return.</t>
  </si>
  <si>
    <t>Reduce service intensity, apply stricter pricing, or consider deprioritizing this segment altogether.</t>
  </si>
  <si>
    <t>Updated:</t>
  </si>
  <si>
    <t>Total Revenue</t>
  </si>
  <si>
    <t>Total Profit</t>
  </si>
  <si>
    <t>Avg Profit Margin</t>
  </si>
  <si>
    <t>Highest Profit Segment</t>
  </si>
  <si>
    <t>High Revenue – High Profit</t>
  </si>
  <si>
    <t>Note: Cost_to_Serve includes fixed, operational, and overhead costs; hence may exceed revenue for some customers.(in comparison to revenue to cost)</t>
  </si>
  <si>
    <t>Customer Revenue–Profit Segmentation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</si>
</sst>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vs Margin by Customer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F6-492B-8F25-46AF94F0BA3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3F6-492B-8F25-46AF94F0BA34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F6-492B-8F25-46AF94F0BA3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3F6-492B-8F25-46AF94F0BA34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F6-492B-8F25-46AF94F0BA34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F6-492B-8F25-46AF94F0BA34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F6-492B-8F25-46AF94F0BA34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F6-492B-8F25-46AF94F0BA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Chart_Data!$B$2:$B$5</c:f>
              <c:numCache>
                <c:formatCode>General</c:formatCode>
                <c:ptCount val="4"/>
                <c:pt idx="0">
                  <c:v>1583998</c:v>
                </c:pt>
                <c:pt idx="1">
                  <c:v>662715</c:v>
                </c:pt>
                <c:pt idx="2">
                  <c:v>540939</c:v>
                </c:pt>
                <c:pt idx="3">
                  <c:v>2598679</c:v>
                </c:pt>
              </c:numCache>
            </c:numRef>
          </c:xVal>
          <c:yVal>
            <c:numRef>
              <c:f>Chart_Data!$C$2:$C$5</c:f>
              <c:numCache>
                <c:formatCode>General</c:formatCode>
                <c:ptCount val="4"/>
                <c:pt idx="0">
                  <c:v>0.68100000000000005</c:v>
                </c:pt>
                <c:pt idx="1">
                  <c:v>0.42520000000000002</c:v>
                </c:pt>
                <c:pt idx="2">
                  <c:v>0.74670000000000003</c:v>
                </c:pt>
                <c:pt idx="3">
                  <c:v>0.1278</c:v>
                </c:pt>
              </c:numCache>
            </c:numRef>
          </c:yVal>
          <c:bubbleSize>
            <c:numRef>
              <c:f>Chart_Data!$D$2:$D$5</c:f>
              <c:numCache>
                <c:formatCode>General</c:formatCode>
                <c:ptCount val="4"/>
                <c:pt idx="0">
                  <c:v>1078734</c:v>
                </c:pt>
                <c:pt idx="1">
                  <c:v>281767</c:v>
                </c:pt>
                <c:pt idx="2">
                  <c:v>403934</c:v>
                </c:pt>
                <c:pt idx="3">
                  <c:v>332115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E3F6-492B-8F25-46AF94F0B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529287520"/>
        <c:axId val="529293760"/>
      </c:bubbleChart>
      <c:valAx>
        <c:axId val="52928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293760"/>
        <c:crosses val="autoZero"/>
        <c:crossBetween val="midCat"/>
      </c:valAx>
      <c:valAx>
        <c:axId val="5292937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28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vs Margin by Customer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C5-498F-92BB-4E010FCF6E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C5-498F-92BB-4E010FCF6E6B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C5-498F-92BB-4E010FCF6E6B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C5-498F-92BB-4E010FCF6E6B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C5-498F-92BB-4E010FCF6E6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C5-498F-92BB-4E010FCF6E6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C5-498F-92BB-4E010FCF6E6B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C5-498F-92BB-4E010FCF6E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Chart_Data!$B$2:$B$5</c:f>
              <c:numCache>
                <c:formatCode>General</c:formatCode>
                <c:ptCount val="4"/>
                <c:pt idx="0">
                  <c:v>1583998</c:v>
                </c:pt>
                <c:pt idx="1">
                  <c:v>662715</c:v>
                </c:pt>
                <c:pt idx="2">
                  <c:v>540939</c:v>
                </c:pt>
                <c:pt idx="3">
                  <c:v>2598679</c:v>
                </c:pt>
              </c:numCache>
            </c:numRef>
          </c:xVal>
          <c:yVal>
            <c:numRef>
              <c:f>Chart_Data!$C$2:$C$5</c:f>
              <c:numCache>
                <c:formatCode>General</c:formatCode>
                <c:ptCount val="4"/>
                <c:pt idx="0">
                  <c:v>0.68100000000000005</c:v>
                </c:pt>
                <c:pt idx="1">
                  <c:v>0.42520000000000002</c:v>
                </c:pt>
                <c:pt idx="2">
                  <c:v>0.74670000000000003</c:v>
                </c:pt>
                <c:pt idx="3">
                  <c:v>0.1278</c:v>
                </c:pt>
              </c:numCache>
            </c:numRef>
          </c:yVal>
          <c:bubbleSize>
            <c:numRef>
              <c:f>Chart_Data!$D$2:$D$5</c:f>
              <c:numCache>
                <c:formatCode>General</c:formatCode>
                <c:ptCount val="4"/>
                <c:pt idx="0">
                  <c:v>1078734</c:v>
                </c:pt>
                <c:pt idx="1">
                  <c:v>281767</c:v>
                </c:pt>
                <c:pt idx="2">
                  <c:v>403934</c:v>
                </c:pt>
                <c:pt idx="3">
                  <c:v>332115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E3F6-492B-8F25-46AF94F0B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529287520"/>
        <c:axId val="529293760"/>
      </c:bubbleChart>
      <c:valAx>
        <c:axId val="52928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293760"/>
        <c:crosses val="autoZero"/>
        <c:crossBetween val="midCat"/>
      </c:valAx>
      <c:valAx>
        <c:axId val="5292937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28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1051560</xdr:colOff>
      <xdr:row>8</xdr:row>
      <xdr:rowOff>118110</xdr:rowOff>
    </xdr:from>
    <xdr:to>
      <xdr:col>8</xdr:col>
      <xdr:colOff>45720</xdr:colOff>
      <xdr:row>23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70B0AA-748A-5711-CADC-D24CC23E1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3</xdr:col>
      <xdr:colOff>91440</xdr:colOff>
      <xdr:row>20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0C2F16-7DBE-4085-A698-48B1472B18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21</xdr:row>
      <xdr:rowOff>167640</xdr:rowOff>
    </xdr:from>
    <xdr:to>
      <xdr:col>3</xdr:col>
      <xdr:colOff>99060</xdr:colOff>
      <xdr:row>28</xdr:row>
      <xdr:rowOff>160020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B9B2B97-4D79-D8F4-5C39-14FCD7FD5EA6}"/>
            </a:ext>
          </a:extLst>
        </xdr:cNvPr>
        <xdr:cNvSpPr txBox="1"/>
      </xdr:nvSpPr>
      <xdr:spPr>
        <a:xfrm>
          <a:off x="617220" y="4152900"/>
          <a:ext cx="2529840" cy="1272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100" b="1">
              <a:latin typeface="+mn-lt"/>
            </a:rPr>
            <a:t>Key Business Insight</a:t>
          </a:r>
          <a:endParaRPr lang="en-IN" sz="1100">
            <a:latin typeface="+mn-lt"/>
          </a:endParaRPr>
        </a:p>
        <a:p>
          <a:r>
            <a:rPr lang="en-IN" sz="1100">
              <a:latin typeface="+mn-lt"/>
            </a:rPr>
            <a:t>High revenue does not always mean high profit</a:t>
          </a:r>
        </a:p>
        <a:p>
          <a:r>
            <a:rPr lang="en-IN" sz="1100">
              <a:latin typeface="+mn-lt"/>
            </a:rPr>
            <a:t>A small segment drives most of the profit</a:t>
          </a:r>
        </a:p>
        <a:p>
          <a:r>
            <a:rPr lang="en-IN" sz="1100">
              <a:latin typeface="+mn-lt"/>
            </a:rPr>
            <a:t>Margin control matters more than volume</a:t>
          </a:r>
        </a:p>
        <a:p>
          <a:endParaRPr lang="en-IN" sz="1100"/>
        </a:p>
      </xdr:txBody>
    </xdr:sp>
    <xdr:clientData/>
  </xdr:twoCellAnchor>
  <xdr:twoCellAnchor>
    <xdr:from>
      <xdr:col>1</xdr:col>
      <xdr:colOff>22860</xdr:colOff>
      <xdr:row>29</xdr:row>
      <xdr:rowOff>175260</xdr:rowOff>
    </xdr:from>
    <xdr:to>
      <xdr:col>3</xdr:col>
      <xdr:colOff>129540</xdr:colOff>
      <xdr:row>37</xdr:row>
      <xdr:rowOff>53340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5DB315-1605-CEA9-1E55-E2B14D5F251B}"/>
            </a:ext>
          </a:extLst>
        </xdr:cNvPr>
        <xdr:cNvSpPr txBox="1"/>
      </xdr:nvSpPr>
      <xdr:spPr>
        <a:xfrm>
          <a:off x="632460" y="5623560"/>
          <a:ext cx="2545080" cy="1341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b="1"/>
            <a:t>Recommended Actions</a:t>
          </a:r>
          <a:endParaRPr lang="en-IN"/>
        </a:p>
        <a:p>
          <a:r>
            <a:rPr lang="en-IN"/>
            <a:t>Retain high-profit customers</a:t>
          </a:r>
        </a:p>
        <a:p>
          <a:r>
            <a:rPr lang="en-IN"/>
            <a:t>Reduce discounting in low-margin segments</a:t>
          </a:r>
        </a:p>
        <a:p>
          <a:r>
            <a:rPr lang="en-IN"/>
            <a:t>Focus resources on profitable customers</a:t>
          </a:r>
        </a:p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a" refreshedDate="46014.940427546295" createdVersion="8" refreshedVersion="8" minRefreshableVersion="3" recordCount="200" xr:uid="{63C3857D-0FB0-437C-9EFA-26DDFC2F07C0}">
  <cacheSource type="worksheet">
    <worksheetSource ref="A2:J202" sheet="Calculations"/>
  </cacheSource>
  <cacheFields count="11">
    <cacheField name="Customer_ID" numFmtId="0">
      <sharedItems/>
    </cacheField>
    <cacheField name="Revenue" numFmtId="0">
      <sharedItems containsSemiMixedTypes="0" containsString="0" containsNumber="1" containsInteger="1" minValue="1081" maxValue="49946"/>
    </cacheField>
    <cacheField name="Cost_Clean" numFmtId="0">
      <sharedItems containsSemiMixedTypes="0" containsString="0" containsNumber="1" containsInteger="1" minValue="543" maxValue="29990"/>
    </cacheField>
    <cacheField name="Return_Rate_Clean" numFmtId="0">
      <sharedItems containsString="0" containsBlank="1" containsNumber="1" minValue="0.01" maxValue="0.3"/>
    </cacheField>
    <cacheField name="Customer_Profit" numFmtId="0">
      <sharedItems containsSemiMixedTypes="0" containsString="0" containsNumber="1" containsInteger="1" minValue="-28063" maxValue="45748"/>
    </cacheField>
    <cacheField name="Revenue_Threshold" numFmtId="0">
      <sharedItems containsString="0" containsBlank="1" containsNumber="1" containsInteger="1" minValue="39153" maxValue="39153"/>
    </cacheField>
    <cacheField name="Profit_Threshold" numFmtId="0">
      <sharedItems containsString="0" containsBlank="1" containsNumber="1" containsInteger="1" minValue="22865" maxValue="22865"/>
    </cacheField>
    <cacheField name="Customer_Segment" numFmtId="0">
      <sharedItems count="4">
        <s v="Low Rev – Low Profit"/>
        <s v="High Rev – High Profit"/>
        <s v="High Rev – Low Profit"/>
        <s v="Low Rev – High Profit"/>
      </sharedItems>
    </cacheField>
    <cacheField name="High Rev – Low Profit" numFmtId="0">
      <sharedItems containsString="0" containsBlank="1" containsNumber="1" containsInteger="1" minValue="15" maxValue="15"/>
    </cacheField>
    <cacheField name="High Rev – High Profit" numFmtId="0">
      <sharedItems containsString="0" containsBlank="1" containsNumber="1" containsInteger="1" minValue="35" maxValue="35"/>
    </cacheField>
    <cacheField name="Margin" numFmtId="0" formula="Customer_Profit/Revenu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001"/>
    <n v="2658"/>
    <n v="21973"/>
    <n v="0.22"/>
    <n v="-19315"/>
    <n v="39153"/>
    <n v="22865"/>
    <x v="0"/>
    <n v="15"/>
    <n v="35"/>
  </r>
  <r>
    <s v="C002"/>
    <n v="5103"/>
    <n v="14484"/>
    <n v="0.15"/>
    <n v="-9381"/>
    <m/>
    <m/>
    <x v="0"/>
    <m/>
    <m/>
  </r>
  <r>
    <s v="C003"/>
    <n v="25079"/>
    <n v="27280"/>
    <n v="0.18"/>
    <n v="-2201"/>
    <m/>
    <m/>
    <x v="0"/>
    <m/>
    <m/>
  </r>
  <r>
    <s v="C004"/>
    <n v="16960"/>
    <n v="26875"/>
    <n v="0.21"/>
    <n v="-9915"/>
    <m/>
    <m/>
    <x v="0"/>
    <m/>
    <m/>
  </r>
  <r>
    <s v="C005"/>
    <n v="30841"/>
    <n v="7986"/>
    <n v="0.12"/>
    <n v="22855"/>
    <m/>
    <m/>
    <x v="0"/>
    <m/>
    <m/>
  </r>
  <r>
    <s v="C006"/>
    <n v="25139"/>
    <n v="19876"/>
    <n v="0.12"/>
    <n v="5263"/>
    <m/>
    <m/>
    <x v="0"/>
    <m/>
    <m/>
  </r>
  <r>
    <s v="C007"/>
    <n v="11116"/>
    <n v="10808"/>
    <n v="0.25"/>
    <n v="308"/>
    <m/>
    <m/>
    <x v="0"/>
    <m/>
    <m/>
  </r>
  <r>
    <s v="C008"/>
    <n v="44869"/>
    <n v="16868"/>
    <n v="0.24"/>
    <n v="28001"/>
    <m/>
    <m/>
    <x v="1"/>
    <m/>
    <m/>
  </r>
  <r>
    <s v="C009"/>
    <n v="40105"/>
    <n v="2256"/>
    <n v="0.25"/>
    <n v="37849"/>
    <m/>
    <m/>
    <x v="1"/>
    <m/>
    <m/>
  </r>
  <r>
    <s v="C010"/>
    <n v="48507"/>
    <n v="7943"/>
    <n v="0.17"/>
    <n v="40564"/>
    <m/>
    <m/>
    <x v="1"/>
    <m/>
    <m/>
  </r>
  <r>
    <s v="C011"/>
    <n v="12530"/>
    <n v="23509"/>
    <m/>
    <n v="-10979"/>
    <m/>
    <m/>
    <x v="0"/>
    <m/>
    <m/>
  </r>
  <r>
    <s v="C012"/>
    <n v="13702"/>
    <n v="24076"/>
    <n v="0.06"/>
    <n v="-10374"/>
    <m/>
    <m/>
    <x v="0"/>
    <m/>
    <m/>
  </r>
  <r>
    <s v="C013"/>
    <n v="49946"/>
    <n v="22297"/>
    <n v="0.21"/>
    <n v="27649"/>
    <m/>
    <m/>
    <x v="1"/>
    <m/>
    <m/>
  </r>
  <r>
    <s v="C014"/>
    <n v="2841"/>
    <n v="5160"/>
    <n v="0.14000000000000001"/>
    <n v="-2319"/>
    <m/>
    <m/>
    <x v="0"/>
    <m/>
    <m/>
  </r>
  <r>
    <s v="C015"/>
    <n v="24430"/>
    <n v="19343"/>
    <n v="0.19"/>
    <n v="5087"/>
    <m/>
    <m/>
    <x v="0"/>
    <m/>
    <m/>
  </r>
  <r>
    <s v="C016"/>
    <n v="43130"/>
    <n v="21994"/>
    <n v="0.13"/>
    <n v="21136"/>
    <m/>
    <m/>
    <x v="2"/>
    <m/>
    <m/>
  </r>
  <r>
    <s v="C017"/>
    <n v="41312"/>
    <n v="15974"/>
    <n v="0.13"/>
    <n v="25338"/>
    <m/>
    <m/>
    <x v="1"/>
    <m/>
    <m/>
  </r>
  <r>
    <s v="C018"/>
    <n v="43466"/>
    <n v="19122"/>
    <n v="0.13"/>
    <n v="24344"/>
    <m/>
    <m/>
    <x v="1"/>
    <m/>
    <m/>
  </r>
  <r>
    <s v="C019"/>
    <n v="6420"/>
    <n v="14730"/>
    <n v="0.02"/>
    <n v="-8310"/>
    <m/>
    <m/>
    <x v="0"/>
    <m/>
    <m/>
  </r>
  <r>
    <s v="C020"/>
    <n v="38243"/>
    <n v="7779"/>
    <n v="0.06"/>
    <n v="30464"/>
    <m/>
    <m/>
    <x v="3"/>
    <m/>
    <m/>
  </r>
  <r>
    <s v="C021"/>
    <n v="47981"/>
    <n v="12177"/>
    <n v="0.25"/>
    <n v="35804"/>
    <m/>
    <m/>
    <x v="1"/>
    <m/>
    <m/>
  </r>
  <r>
    <s v="C022"/>
    <n v="48072"/>
    <n v="27827"/>
    <n v="0.3"/>
    <n v="20245"/>
    <m/>
    <m/>
    <x v="2"/>
    <m/>
    <m/>
  </r>
  <r>
    <s v="C023"/>
    <n v="2729"/>
    <n v="28066"/>
    <n v="0.18"/>
    <n v="-25337"/>
    <m/>
    <m/>
    <x v="0"/>
    <m/>
    <m/>
  </r>
  <r>
    <s v="C024"/>
    <n v="48456"/>
    <n v="29990"/>
    <n v="0.19"/>
    <n v="18466"/>
    <m/>
    <m/>
    <x v="2"/>
    <m/>
    <m/>
  </r>
  <r>
    <s v="C025"/>
    <n v="42662"/>
    <n v="22929"/>
    <n v="0.19"/>
    <n v="19733"/>
    <m/>
    <m/>
    <x v="2"/>
    <m/>
    <m/>
  </r>
  <r>
    <s v="C026"/>
    <n v="35379"/>
    <n v="11518"/>
    <n v="7.0000000000000007E-2"/>
    <n v="23861"/>
    <m/>
    <m/>
    <x v="3"/>
    <m/>
    <m/>
  </r>
  <r>
    <s v="C027"/>
    <n v="38190"/>
    <n v="22035"/>
    <n v="7.0000000000000007E-2"/>
    <n v="16155"/>
    <m/>
    <m/>
    <x v="0"/>
    <m/>
    <m/>
  </r>
  <r>
    <s v="C028"/>
    <n v="31980"/>
    <n v="2145"/>
    <n v="0.17"/>
    <n v="29835"/>
    <m/>
    <m/>
    <x v="3"/>
    <m/>
    <m/>
  </r>
  <r>
    <s v="C029"/>
    <n v="33508"/>
    <n v="7252"/>
    <n v="0.03"/>
    <n v="26256"/>
    <m/>
    <m/>
    <x v="3"/>
    <m/>
    <m/>
  </r>
  <r>
    <s v="C030"/>
    <n v="31918"/>
    <n v="16549"/>
    <n v="0.24"/>
    <n v="15369"/>
    <m/>
    <m/>
    <x v="0"/>
    <m/>
    <m/>
  </r>
  <r>
    <s v="C031"/>
    <n v="21796"/>
    <n v="24046"/>
    <n v="0.15"/>
    <n v="-2250"/>
    <m/>
    <m/>
    <x v="0"/>
    <m/>
    <m/>
  </r>
  <r>
    <s v="C032"/>
    <n v="49521"/>
    <n v="19342"/>
    <n v="0.21"/>
    <n v="30179"/>
    <m/>
    <m/>
    <x v="1"/>
    <m/>
    <m/>
  </r>
  <r>
    <s v="C033"/>
    <n v="24992"/>
    <n v="6860"/>
    <n v="0.15"/>
    <n v="18132"/>
    <m/>
    <m/>
    <x v="0"/>
    <m/>
    <m/>
  </r>
  <r>
    <s v="C034"/>
    <n v="14168"/>
    <n v="2237"/>
    <n v="0.25"/>
    <n v="11931"/>
    <m/>
    <m/>
    <x v="0"/>
    <m/>
    <m/>
  </r>
  <r>
    <s v="C035"/>
    <n v="13475"/>
    <n v="3293"/>
    <n v="0.28999999999999998"/>
    <n v="10182"/>
    <m/>
    <m/>
    <x v="0"/>
    <m/>
    <m/>
  </r>
  <r>
    <s v="C036"/>
    <n v="29892"/>
    <n v="28329"/>
    <n v="0.08"/>
    <n v="1563"/>
    <m/>
    <m/>
    <x v="0"/>
    <m/>
    <m/>
  </r>
  <r>
    <s v="C037"/>
    <n v="10507"/>
    <n v="28524"/>
    <n v="0.23"/>
    <n v="-18017"/>
    <m/>
    <m/>
    <x v="0"/>
    <m/>
    <m/>
  </r>
  <r>
    <s v="C038"/>
    <n v="44476"/>
    <n v="8811"/>
    <n v="0.26"/>
    <n v="35665"/>
    <m/>
    <m/>
    <x v="1"/>
    <m/>
    <m/>
  </r>
  <r>
    <s v="C039"/>
    <n v="17860"/>
    <n v="23935"/>
    <n v="0.05"/>
    <n v="-6075"/>
    <m/>
    <m/>
    <x v="0"/>
    <m/>
    <m/>
  </r>
  <r>
    <s v="C040"/>
    <n v="16645"/>
    <n v="29691"/>
    <n v="0.3"/>
    <n v="-13046"/>
    <m/>
    <m/>
    <x v="0"/>
    <m/>
    <m/>
  </r>
  <r>
    <s v="C041"/>
    <n v="8465"/>
    <n v="27589"/>
    <n v="0.06"/>
    <n v="-19124"/>
    <m/>
    <m/>
    <x v="0"/>
    <m/>
    <m/>
  </r>
  <r>
    <s v="C042"/>
    <n v="43908"/>
    <n v="24510"/>
    <n v="0.17"/>
    <n v="19398"/>
    <m/>
    <m/>
    <x v="2"/>
    <m/>
    <m/>
  </r>
  <r>
    <s v="C043"/>
    <n v="20014"/>
    <n v="5860"/>
    <n v="0.17"/>
    <n v="14154"/>
    <m/>
    <m/>
    <x v="0"/>
    <m/>
    <m/>
  </r>
  <r>
    <s v="C044"/>
    <n v="9133"/>
    <n v="29513"/>
    <n v="0.3"/>
    <n v="-20380"/>
    <m/>
    <m/>
    <x v="0"/>
    <m/>
    <m/>
  </r>
  <r>
    <s v="C045"/>
    <n v="21037"/>
    <n v="15022"/>
    <n v="0.01"/>
    <n v="6015"/>
    <m/>
    <m/>
    <x v="0"/>
    <m/>
    <m/>
  </r>
  <r>
    <s v="C046"/>
    <n v="37702"/>
    <n v="5541"/>
    <n v="0.08"/>
    <n v="32161"/>
    <m/>
    <m/>
    <x v="3"/>
    <m/>
    <m/>
  </r>
  <r>
    <s v="C047"/>
    <n v="15213"/>
    <n v="16549"/>
    <n v="0.05"/>
    <n v="-1336"/>
    <m/>
    <m/>
    <x v="0"/>
    <m/>
    <m/>
  </r>
  <r>
    <s v="C048"/>
    <n v="38465"/>
    <n v="16549"/>
    <n v="0.25"/>
    <n v="21916"/>
    <m/>
    <m/>
    <x v="0"/>
    <m/>
    <m/>
  </r>
  <r>
    <s v="C049"/>
    <n v="40964"/>
    <n v="7316"/>
    <n v="0.3"/>
    <n v="33648"/>
    <m/>
    <m/>
    <x v="1"/>
    <m/>
    <m/>
  </r>
  <r>
    <s v="C050"/>
    <n v="3354"/>
    <n v="26453"/>
    <n v="0.1"/>
    <n v="-23099"/>
    <m/>
    <m/>
    <x v="0"/>
    <m/>
    <m/>
  </r>
  <r>
    <s v="C051"/>
    <n v="39754"/>
    <n v="17071"/>
    <n v="0.19"/>
    <n v="22683"/>
    <m/>
    <m/>
    <x v="2"/>
    <m/>
    <m/>
  </r>
  <r>
    <s v="C052"/>
    <n v="9655"/>
    <n v="9733"/>
    <n v="0.13"/>
    <n v="-78"/>
    <m/>
    <m/>
    <x v="0"/>
    <m/>
    <m/>
  </r>
  <r>
    <s v="C053"/>
    <n v="14600"/>
    <n v="13535"/>
    <n v="0.13"/>
    <n v="1065"/>
    <m/>
    <m/>
    <x v="0"/>
    <m/>
    <m/>
  </r>
  <r>
    <s v="C054"/>
    <n v="43298"/>
    <n v="7241"/>
    <n v="0.03"/>
    <n v="36057"/>
    <m/>
    <m/>
    <x v="1"/>
    <m/>
    <m/>
  </r>
  <r>
    <s v="C055"/>
    <n v="20624"/>
    <n v="26135"/>
    <n v="0.18"/>
    <n v="-5511"/>
    <m/>
    <m/>
    <x v="0"/>
    <m/>
    <m/>
  </r>
  <r>
    <s v="C056"/>
    <n v="24598"/>
    <n v="8860"/>
    <n v="0.19"/>
    <n v="15738"/>
    <m/>
    <m/>
    <x v="0"/>
    <m/>
    <m/>
  </r>
  <r>
    <s v="C057"/>
    <n v="30928"/>
    <n v="11129"/>
    <n v="0.3"/>
    <n v="19799"/>
    <m/>
    <m/>
    <x v="0"/>
    <m/>
    <m/>
  </r>
  <r>
    <s v="C058"/>
    <n v="5161"/>
    <n v="16549"/>
    <n v="0.28000000000000003"/>
    <n v="-11388"/>
    <m/>
    <m/>
    <x v="0"/>
    <m/>
    <m/>
  </r>
  <r>
    <s v="C059"/>
    <n v="44453"/>
    <n v="11062"/>
    <n v="0.02"/>
    <n v="33391"/>
    <m/>
    <m/>
    <x v="1"/>
    <m/>
    <m/>
  </r>
  <r>
    <s v="C060"/>
    <n v="30775"/>
    <n v="17693"/>
    <n v="0.17"/>
    <n v="13082"/>
    <m/>
    <m/>
    <x v="0"/>
    <m/>
    <m/>
  </r>
  <r>
    <s v="C061"/>
    <n v="19789"/>
    <n v="6752"/>
    <n v="0.1"/>
    <n v="13037"/>
    <m/>
    <m/>
    <x v="0"/>
    <m/>
    <m/>
  </r>
  <r>
    <s v="C062"/>
    <n v="43255"/>
    <n v="14529"/>
    <n v="0.2"/>
    <n v="28726"/>
    <m/>
    <m/>
    <x v="1"/>
    <m/>
    <m/>
  </r>
  <r>
    <s v="C063"/>
    <n v="4506"/>
    <n v="21797"/>
    <n v="0.17"/>
    <n v="-17291"/>
    <m/>
    <m/>
    <x v="0"/>
    <m/>
    <m/>
  </r>
  <r>
    <s v="C064"/>
    <n v="22342"/>
    <n v="21828"/>
    <n v="0.1"/>
    <n v="514"/>
    <m/>
    <m/>
    <x v="0"/>
    <m/>
    <m/>
  </r>
  <r>
    <s v="C065"/>
    <n v="37720"/>
    <n v="19960"/>
    <n v="0.22"/>
    <n v="17760"/>
    <m/>
    <m/>
    <x v="0"/>
    <m/>
    <m/>
  </r>
  <r>
    <s v="C066"/>
    <n v="30383"/>
    <n v="15094"/>
    <n v="0.23"/>
    <n v="15289"/>
    <m/>
    <m/>
    <x v="0"/>
    <m/>
    <m/>
  </r>
  <r>
    <s v="C067"/>
    <n v="9858"/>
    <n v="3881"/>
    <n v="0.09"/>
    <n v="5977"/>
    <m/>
    <m/>
    <x v="0"/>
    <m/>
    <m/>
  </r>
  <r>
    <s v="C068"/>
    <n v="48100"/>
    <n v="27774"/>
    <n v="0.02"/>
    <n v="20326"/>
    <m/>
    <m/>
    <x v="2"/>
    <m/>
    <m/>
  </r>
  <r>
    <s v="C069"/>
    <n v="21859"/>
    <n v="19192"/>
    <n v="0.19"/>
    <n v="2667"/>
    <m/>
    <m/>
    <x v="0"/>
    <m/>
    <m/>
  </r>
  <r>
    <s v="C070"/>
    <n v="45655"/>
    <n v="25708"/>
    <n v="0.17"/>
    <n v="19947"/>
    <m/>
    <m/>
    <x v="2"/>
    <m/>
    <m/>
  </r>
  <r>
    <s v="C071"/>
    <n v="27500"/>
    <n v="14556"/>
    <n v="7.0000000000000007E-2"/>
    <n v="12944"/>
    <m/>
    <m/>
    <x v="0"/>
    <m/>
    <m/>
  </r>
  <r>
    <s v="C072"/>
    <n v="14245"/>
    <n v="5635"/>
    <n v="0.25"/>
    <n v="8610"/>
    <m/>
    <m/>
    <x v="0"/>
    <m/>
    <m/>
  </r>
  <r>
    <s v="C073"/>
    <n v="25665"/>
    <n v="9918"/>
    <n v="0.04"/>
    <n v="15747"/>
    <m/>
    <m/>
    <x v="0"/>
    <m/>
    <m/>
  </r>
  <r>
    <s v="C074"/>
    <n v="14069"/>
    <n v="13970"/>
    <n v="0.2"/>
    <n v="99"/>
    <m/>
    <m/>
    <x v="0"/>
    <m/>
    <m/>
  </r>
  <r>
    <s v="C075"/>
    <n v="49591"/>
    <n v="16549"/>
    <n v="0.15"/>
    <n v="33042"/>
    <m/>
    <m/>
    <x v="1"/>
    <m/>
    <m/>
  </r>
  <r>
    <s v="C076"/>
    <n v="27050"/>
    <n v="17324"/>
    <n v="0.24"/>
    <n v="9726"/>
    <m/>
    <m/>
    <x v="0"/>
    <m/>
    <m/>
  </r>
  <r>
    <s v="C077"/>
    <n v="38503"/>
    <n v="8289"/>
    <n v="0.04"/>
    <n v="30214"/>
    <m/>
    <m/>
    <x v="3"/>
    <m/>
    <m/>
  </r>
  <r>
    <s v="C078"/>
    <n v="44146"/>
    <n v="2149"/>
    <n v="0.01"/>
    <n v="41997"/>
    <m/>
    <m/>
    <x v="1"/>
    <m/>
    <m/>
  </r>
  <r>
    <s v="C079"/>
    <n v="12841"/>
    <n v="10690"/>
    <n v="0.28000000000000003"/>
    <n v="2151"/>
    <m/>
    <m/>
    <x v="0"/>
    <m/>
    <m/>
  </r>
  <r>
    <s v="C080"/>
    <n v="36268"/>
    <n v="20247"/>
    <n v="0.25"/>
    <n v="16021"/>
    <m/>
    <m/>
    <x v="0"/>
    <m/>
    <m/>
  </r>
  <r>
    <s v="C081"/>
    <n v="48747"/>
    <n v="25835"/>
    <n v="0.01"/>
    <n v="22912"/>
    <m/>
    <m/>
    <x v="1"/>
    <m/>
    <m/>
  </r>
  <r>
    <s v="C082"/>
    <n v="33525"/>
    <n v="16549"/>
    <n v="0.26"/>
    <n v="16976"/>
    <m/>
    <m/>
    <x v="0"/>
    <m/>
    <m/>
  </r>
  <r>
    <s v="C083"/>
    <n v="7129"/>
    <n v="16549"/>
    <n v="0.11"/>
    <n v="-9420"/>
    <m/>
    <m/>
    <x v="0"/>
    <m/>
    <m/>
  </r>
  <r>
    <s v="C084"/>
    <n v="19255"/>
    <n v="25596"/>
    <n v="0.17"/>
    <n v="-6341"/>
    <m/>
    <m/>
    <x v="0"/>
    <m/>
    <m/>
  </r>
  <r>
    <s v="C085"/>
    <n v="33750"/>
    <n v="16340"/>
    <n v="0.06"/>
    <n v="17410"/>
    <m/>
    <m/>
    <x v="0"/>
    <m/>
    <m/>
  </r>
  <r>
    <s v="C086"/>
    <n v="8672"/>
    <n v="18165"/>
    <n v="0.24"/>
    <n v="-9493"/>
    <m/>
    <m/>
    <x v="0"/>
    <m/>
    <m/>
  </r>
  <r>
    <s v="C087"/>
    <n v="5043"/>
    <n v="16827"/>
    <n v="0.26"/>
    <n v="-11784"/>
    <m/>
    <m/>
    <x v="0"/>
    <m/>
    <m/>
  </r>
  <r>
    <s v="C088"/>
    <n v="28951"/>
    <n v="25720"/>
    <n v="0.3"/>
    <n v="3231"/>
    <m/>
    <m/>
    <x v="0"/>
    <m/>
    <m/>
  </r>
  <r>
    <s v="C089"/>
    <n v="41194"/>
    <n v="16792"/>
    <n v="0.04"/>
    <n v="24402"/>
    <m/>
    <m/>
    <x v="1"/>
    <m/>
    <m/>
  </r>
  <r>
    <s v="C090"/>
    <n v="26014"/>
    <n v="12282"/>
    <n v="0.08"/>
    <n v="13732"/>
    <m/>
    <m/>
    <x v="0"/>
    <m/>
    <m/>
  </r>
  <r>
    <s v="C091"/>
    <n v="49511"/>
    <n v="3763"/>
    <n v="0.02"/>
    <n v="45748"/>
    <m/>
    <m/>
    <x v="1"/>
    <m/>
    <m/>
  </r>
  <r>
    <s v="C092"/>
    <n v="26646"/>
    <n v="6661"/>
    <n v="0.17"/>
    <n v="19985"/>
    <m/>
    <m/>
    <x v="0"/>
    <m/>
    <m/>
  </r>
  <r>
    <s v="C093"/>
    <n v="39234"/>
    <n v="11465"/>
    <n v="0.16"/>
    <n v="27769"/>
    <m/>
    <m/>
    <x v="1"/>
    <m/>
    <m/>
  </r>
  <r>
    <s v="C094"/>
    <n v="7533"/>
    <n v="26705"/>
    <n v="0.09"/>
    <n v="-19172"/>
    <m/>
    <m/>
    <x v="0"/>
    <m/>
    <m/>
  </r>
  <r>
    <s v="C095"/>
    <n v="31527"/>
    <n v="6038"/>
    <n v="0.1"/>
    <n v="25489"/>
    <m/>
    <m/>
    <x v="3"/>
    <m/>
    <m/>
  </r>
  <r>
    <s v="C096"/>
    <n v="31344"/>
    <n v="18965"/>
    <n v="0.14000000000000001"/>
    <n v="12379"/>
    <m/>
    <m/>
    <x v="0"/>
    <m/>
    <m/>
  </r>
  <r>
    <s v="C097"/>
    <n v="24525"/>
    <n v="9483"/>
    <n v="0.27"/>
    <n v="15042"/>
    <m/>
    <m/>
    <x v="0"/>
    <m/>
    <m/>
  </r>
  <r>
    <s v="C098"/>
    <n v="37554"/>
    <n v="22882"/>
    <n v="0.2"/>
    <n v="14672"/>
    <m/>
    <m/>
    <x v="0"/>
    <m/>
    <m/>
  </r>
  <r>
    <s v="C099"/>
    <n v="40217"/>
    <n v="26218"/>
    <n v="0.15"/>
    <n v="13999"/>
    <m/>
    <m/>
    <x v="2"/>
    <m/>
    <m/>
  </r>
  <r>
    <s v="C100"/>
    <n v="37270"/>
    <n v="13913"/>
    <n v="0.27"/>
    <n v="23357"/>
    <m/>
    <m/>
    <x v="3"/>
    <m/>
    <m/>
  </r>
  <r>
    <s v="C101"/>
    <n v="46174"/>
    <n v="27091"/>
    <n v="0.28000000000000003"/>
    <n v="19083"/>
    <m/>
    <m/>
    <x v="2"/>
    <m/>
    <m/>
  </r>
  <r>
    <s v="C102"/>
    <n v="5519"/>
    <n v="10843"/>
    <n v="0.17"/>
    <n v="-5324"/>
    <m/>
    <m/>
    <x v="0"/>
    <m/>
    <m/>
  </r>
  <r>
    <s v="C103"/>
    <n v="41152"/>
    <n v="28530"/>
    <n v="0.27"/>
    <n v="12622"/>
    <m/>
    <m/>
    <x v="2"/>
    <m/>
    <m/>
  </r>
  <r>
    <s v="C104"/>
    <n v="13354"/>
    <n v="5164"/>
    <n v="0.16"/>
    <n v="8190"/>
    <m/>
    <m/>
    <x v="0"/>
    <m/>
    <m/>
  </r>
  <r>
    <s v="C105"/>
    <n v="34921"/>
    <n v="12026"/>
    <n v="0.02"/>
    <n v="22895"/>
    <m/>
    <m/>
    <x v="3"/>
    <m/>
    <m/>
  </r>
  <r>
    <s v="C106"/>
    <n v="45929"/>
    <n v="19724"/>
    <n v="0.08"/>
    <n v="26205"/>
    <m/>
    <m/>
    <x v="1"/>
    <m/>
    <m/>
  </r>
  <r>
    <s v="C107"/>
    <n v="11812"/>
    <n v="16549"/>
    <n v="0.25"/>
    <n v="-4737"/>
    <m/>
    <m/>
    <x v="0"/>
    <m/>
    <m/>
  </r>
  <r>
    <s v="C108"/>
    <n v="28729"/>
    <n v="18231"/>
    <n v="0.26"/>
    <n v="10498"/>
    <m/>
    <m/>
    <x v="0"/>
    <m/>
    <m/>
  </r>
  <r>
    <s v="C109"/>
    <n v="10721"/>
    <n v="10898"/>
    <n v="0.27"/>
    <n v="-177"/>
    <m/>
    <m/>
    <x v="0"/>
    <m/>
    <m/>
  </r>
  <r>
    <s v="C110"/>
    <n v="15546"/>
    <n v="29127"/>
    <n v="0.2"/>
    <n v="-13581"/>
    <m/>
    <m/>
    <x v="0"/>
    <m/>
    <m/>
  </r>
  <r>
    <s v="C111"/>
    <n v="32110"/>
    <n v="3175"/>
    <n v="0.28000000000000003"/>
    <n v="28935"/>
    <m/>
    <m/>
    <x v="3"/>
    <m/>
    <m/>
  </r>
  <r>
    <s v="C112"/>
    <n v="14838"/>
    <n v="10895"/>
    <n v="0.3"/>
    <n v="3943"/>
    <m/>
    <m/>
    <x v="0"/>
    <m/>
    <m/>
  </r>
  <r>
    <s v="C113"/>
    <n v="49218"/>
    <n v="20666"/>
    <n v="0.11"/>
    <n v="28552"/>
    <m/>
    <m/>
    <x v="1"/>
    <m/>
    <m/>
  </r>
  <r>
    <s v="C114"/>
    <n v="39243"/>
    <n v="23117"/>
    <n v="0.05"/>
    <n v="16126"/>
    <m/>
    <m/>
    <x v="2"/>
    <m/>
    <m/>
  </r>
  <r>
    <s v="C115"/>
    <n v="38920"/>
    <n v="15777"/>
    <n v="0.22"/>
    <n v="23143"/>
    <m/>
    <m/>
    <x v="3"/>
    <m/>
    <m/>
  </r>
  <r>
    <s v="C116"/>
    <n v="24201"/>
    <n v="22690"/>
    <n v="0.1"/>
    <n v="1511"/>
    <m/>
    <m/>
    <x v="0"/>
    <m/>
    <m/>
  </r>
  <r>
    <s v="C117"/>
    <n v="43400"/>
    <n v="16549"/>
    <n v="0.21"/>
    <n v="26851"/>
    <m/>
    <m/>
    <x v="1"/>
    <m/>
    <m/>
  </r>
  <r>
    <s v="C118"/>
    <n v="1980"/>
    <n v="12365"/>
    <n v="0.03"/>
    <n v="-10385"/>
    <m/>
    <m/>
    <x v="0"/>
    <m/>
    <m/>
  </r>
  <r>
    <s v="C119"/>
    <n v="5949"/>
    <n v="10192"/>
    <n v="0.04"/>
    <n v="-4243"/>
    <m/>
    <m/>
    <x v="0"/>
    <m/>
    <m/>
  </r>
  <r>
    <s v="C120"/>
    <n v="7435"/>
    <n v="7650"/>
    <n v="0.2"/>
    <n v="-215"/>
    <m/>
    <m/>
    <x v="0"/>
    <m/>
    <m/>
  </r>
  <r>
    <s v="C121"/>
    <n v="33445"/>
    <n v="29687"/>
    <n v="0.26"/>
    <n v="3758"/>
    <m/>
    <m/>
    <x v="0"/>
    <m/>
    <m/>
  </r>
  <r>
    <s v="C122"/>
    <n v="38276"/>
    <n v="24917"/>
    <n v="0.02"/>
    <n v="13359"/>
    <m/>
    <m/>
    <x v="0"/>
    <m/>
    <m/>
  </r>
  <r>
    <s v="C123"/>
    <n v="16839"/>
    <n v="11200"/>
    <n v="0.19"/>
    <n v="5639"/>
    <m/>
    <m/>
    <x v="0"/>
    <m/>
    <m/>
  </r>
  <r>
    <s v="C124"/>
    <n v="47198"/>
    <n v="29362"/>
    <n v="0.24"/>
    <n v="17836"/>
    <m/>
    <m/>
    <x v="2"/>
    <m/>
    <m/>
  </r>
  <r>
    <s v="C125"/>
    <n v="32948"/>
    <n v="16549"/>
    <n v="0.2"/>
    <n v="16399"/>
    <m/>
    <m/>
    <x v="0"/>
    <m/>
    <m/>
  </r>
  <r>
    <s v="C126"/>
    <n v="48524"/>
    <n v="16959"/>
    <n v="0.26"/>
    <n v="31565"/>
    <m/>
    <m/>
    <x v="1"/>
    <m/>
    <m/>
  </r>
  <r>
    <s v="C127"/>
    <n v="7497"/>
    <n v="638"/>
    <n v="0.21"/>
    <n v="6859"/>
    <m/>
    <m/>
    <x v="0"/>
    <m/>
    <m/>
  </r>
  <r>
    <s v="C128"/>
    <n v="23679"/>
    <n v="16549"/>
    <n v="0.21"/>
    <n v="7130"/>
    <m/>
    <m/>
    <x v="0"/>
    <m/>
    <m/>
  </r>
  <r>
    <s v="C129"/>
    <n v="41075"/>
    <n v="21795"/>
    <n v="0.17"/>
    <n v="19280"/>
    <m/>
    <m/>
    <x v="2"/>
    <m/>
    <m/>
  </r>
  <r>
    <s v="C130"/>
    <n v="34064"/>
    <n v="28932"/>
    <n v="0.28999999999999998"/>
    <n v="5132"/>
    <m/>
    <m/>
    <x v="0"/>
    <m/>
    <m/>
  </r>
  <r>
    <s v="C131"/>
    <n v="9293"/>
    <n v="4215"/>
    <n v="0.24"/>
    <n v="5078"/>
    <m/>
    <m/>
    <x v="0"/>
    <m/>
    <m/>
  </r>
  <r>
    <s v="C132"/>
    <n v="15078"/>
    <n v="10338"/>
    <n v="0.05"/>
    <n v="4740"/>
    <m/>
    <m/>
    <x v="0"/>
    <m/>
    <m/>
  </r>
  <r>
    <s v="C133"/>
    <n v="20076"/>
    <n v="16549"/>
    <n v="0.28000000000000003"/>
    <n v="3527"/>
    <m/>
    <m/>
    <x v="0"/>
    <m/>
    <m/>
  </r>
  <r>
    <s v="C134"/>
    <n v="16853"/>
    <n v="12995"/>
    <n v="0.24"/>
    <n v="3858"/>
    <m/>
    <m/>
    <x v="0"/>
    <m/>
    <m/>
  </r>
  <r>
    <s v="C135"/>
    <n v="36002"/>
    <n v="13974"/>
    <n v="0.11"/>
    <n v="22028"/>
    <m/>
    <m/>
    <x v="0"/>
    <m/>
    <m/>
  </r>
  <r>
    <s v="C136"/>
    <n v="1432"/>
    <n v="29495"/>
    <n v="0.25"/>
    <n v="-28063"/>
    <m/>
    <m/>
    <x v="0"/>
    <m/>
    <m/>
  </r>
  <r>
    <s v="C137"/>
    <n v="17616"/>
    <n v="8862"/>
    <n v="0.26"/>
    <n v="8754"/>
    <m/>
    <m/>
    <x v="0"/>
    <m/>
    <m/>
  </r>
  <r>
    <s v="C138"/>
    <n v="41141"/>
    <n v="14530"/>
    <n v="0.27"/>
    <n v="26611"/>
    <m/>
    <m/>
    <x v="1"/>
    <m/>
    <m/>
  </r>
  <r>
    <s v="C139"/>
    <n v="25577"/>
    <n v="21498"/>
    <n v="0.23"/>
    <n v="4079"/>
    <m/>
    <m/>
    <x v="0"/>
    <m/>
    <m/>
  </r>
  <r>
    <s v="C140"/>
    <n v="45842"/>
    <n v="4243"/>
    <n v="0.2"/>
    <n v="41599"/>
    <m/>
    <m/>
    <x v="1"/>
    <m/>
    <m/>
  </r>
  <r>
    <s v="C141"/>
    <n v="32790"/>
    <n v="20381"/>
    <n v="0.06"/>
    <n v="12409"/>
    <m/>
    <m/>
    <x v="0"/>
    <m/>
    <m/>
  </r>
  <r>
    <s v="C142"/>
    <n v="10315"/>
    <n v="27581"/>
    <n v="0.01"/>
    <n v="-17266"/>
    <m/>
    <m/>
    <x v="0"/>
    <m/>
    <m/>
  </r>
  <r>
    <s v="C143"/>
    <n v="31695"/>
    <n v="16549"/>
    <n v="0.24"/>
    <n v="15146"/>
    <m/>
    <m/>
    <x v="0"/>
    <m/>
    <m/>
  </r>
  <r>
    <s v="C144"/>
    <n v="7229"/>
    <n v="29639"/>
    <n v="0.28000000000000003"/>
    <n v="-22410"/>
    <m/>
    <m/>
    <x v="0"/>
    <m/>
    <m/>
  </r>
  <r>
    <s v="C145"/>
    <n v="1081"/>
    <n v="8655"/>
    <n v="0.22"/>
    <n v="-7574"/>
    <m/>
    <m/>
    <x v="0"/>
    <m/>
    <m/>
  </r>
  <r>
    <s v="C146"/>
    <n v="27147"/>
    <n v="14536"/>
    <n v="0.16"/>
    <n v="12611"/>
    <m/>
    <m/>
    <x v="0"/>
    <m/>
    <m/>
  </r>
  <r>
    <s v="C147"/>
    <n v="28860"/>
    <n v="13908"/>
    <n v="0.17"/>
    <n v="14952"/>
    <m/>
    <m/>
    <x v="0"/>
    <m/>
    <m/>
  </r>
  <r>
    <s v="C148"/>
    <n v="20378"/>
    <n v="27433"/>
    <n v="0.12"/>
    <n v="-7055"/>
    <m/>
    <m/>
    <x v="0"/>
    <m/>
    <m/>
  </r>
  <r>
    <s v="C149"/>
    <n v="31997"/>
    <n v="16549"/>
    <n v="0.01"/>
    <n v="15448"/>
    <m/>
    <m/>
    <x v="0"/>
    <m/>
    <m/>
  </r>
  <r>
    <s v="C150"/>
    <n v="11902"/>
    <n v="12219"/>
    <n v="0.08"/>
    <n v="-317"/>
    <m/>
    <m/>
    <x v="0"/>
    <m/>
    <m/>
  </r>
  <r>
    <s v="C151"/>
    <n v="19513"/>
    <n v="23014"/>
    <n v="0.08"/>
    <n v="-3501"/>
    <m/>
    <m/>
    <x v="0"/>
    <m/>
    <m/>
  </r>
  <r>
    <s v="C152"/>
    <n v="46664"/>
    <n v="23398"/>
    <n v="0.04"/>
    <n v="23266"/>
    <m/>
    <m/>
    <x v="1"/>
    <m/>
    <m/>
  </r>
  <r>
    <s v="C153"/>
    <n v="44844"/>
    <n v="11958"/>
    <n v="0.02"/>
    <n v="32886"/>
    <m/>
    <m/>
    <x v="1"/>
    <m/>
    <m/>
  </r>
  <r>
    <s v="C154"/>
    <n v="23330"/>
    <n v="20975"/>
    <n v="0.13"/>
    <n v="2355"/>
    <m/>
    <m/>
    <x v="0"/>
    <m/>
    <m/>
  </r>
  <r>
    <s v="C155"/>
    <n v="36031"/>
    <n v="13078"/>
    <n v="0.06"/>
    <n v="22953"/>
    <m/>
    <m/>
    <x v="3"/>
    <m/>
    <m/>
  </r>
  <r>
    <s v="C156"/>
    <n v="3795"/>
    <n v="12191"/>
    <n v="0.08"/>
    <n v="-8396"/>
    <m/>
    <m/>
    <x v="0"/>
    <m/>
    <m/>
  </r>
  <r>
    <s v="C157"/>
    <n v="38798"/>
    <n v="14484"/>
    <n v="0.02"/>
    <n v="24314"/>
    <m/>
    <m/>
    <x v="3"/>
    <m/>
    <m/>
  </r>
  <r>
    <s v="C158"/>
    <n v="14233"/>
    <n v="5765"/>
    <n v="0.2"/>
    <n v="8468"/>
    <m/>
    <m/>
    <x v="0"/>
    <m/>
    <m/>
  </r>
  <r>
    <s v="C159"/>
    <n v="15136"/>
    <n v="8677"/>
    <n v="0.03"/>
    <n v="6459"/>
    <m/>
    <m/>
    <x v="0"/>
    <m/>
    <m/>
  </r>
  <r>
    <s v="C160"/>
    <n v="26428"/>
    <n v="16159"/>
    <n v="0.03"/>
    <n v="10269"/>
    <m/>
    <m/>
    <x v="0"/>
    <m/>
    <m/>
  </r>
  <r>
    <s v="C161"/>
    <n v="6919"/>
    <n v="5184"/>
    <n v="0.3"/>
    <n v="1735"/>
    <m/>
    <m/>
    <x v="0"/>
    <m/>
    <m/>
  </r>
  <r>
    <s v="C162"/>
    <n v="44118"/>
    <n v="19773"/>
    <n v="0.22"/>
    <n v="24345"/>
    <m/>
    <m/>
    <x v="1"/>
    <m/>
    <m/>
  </r>
  <r>
    <s v="C163"/>
    <n v="4608"/>
    <n v="1442"/>
    <n v="0.1"/>
    <n v="3166"/>
    <m/>
    <m/>
    <x v="0"/>
    <m/>
    <m/>
  </r>
  <r>
    <s v="C164"/>
    <n v="28090"/>
    <n v="19632"/>
    <n v="0.02"/>
    <n v="8458"/>
    <m/>
    <m/>
    <x v="0"/>
    <m/>
    <m/>
  </r>
  <r>
    <s v="C165"/>
    <n v="48127"/>
    <n v="16549"/>
    <n v="7.0000000000000007E-2"/>
    <n v="31578"/>
    <m/>
    <m/>
    <x v="1"/>
    <m/>
    <m/>
  </r>
  <r>
    <s v="C166"/>
    <n v="13213"/>
    <n v="3575"/>
    <n v="0.13"/>
    <n v="9638"/>
    <m/>
    <m/>
    <x v="0"/>
    <m/>
    <m/>
  </r>
  <r>
    <s v="C167"/>
    <n v="6429"/>
    <n v="4480"/>
    <n v="0.3"/>
    <n v="1949"/>
    <m/>
    <m/>
    <x v="0"/>
    <m/>
    <m/>
  </r>
  <r>
    <s v="C168"/>
    <n v="3349"/>
    <n v="3716"/>
    <n v="0.18"/>
    <n v="-367"/>
    <m/>
    <m/>
    <x v="0"/>
    <m/>
    <m/>
  </r>
  <r>
    <s v="C169"/>
    <n v="27307"/>
    <n v="22998"/>
    <n v="7.0000000000000007E-2"/>
    <n v="4309"/>
    <m/>
    <m/>
    <x v="0"/>
    <m/>
    <m/>
  </r>
  <r>
    <s v="C170"/>
    <n v="47919"/>
    <n v="27032"/>
    <n v="0.09"/>
    <n v="20887"/>
    <m/>
    <m/>
    <x v="2"/>
    <m/>
    <m/>
  </r>
  <r>
    <s v="C171"/>
    <n v="44983"/>
    <n v="10855"/>
    <n v="7.0000000000000007E-2"/>
    <n v="34128"/>
    <m/>
    <m/>
    <x v="1"/>
    <m/>
    <m/>
  </r>
  <r>
    <s v="C172"/>
    <n v="21287"/>
    <n v="17452"/>
    <n v="0.01"/>
    <n v="3835"/>
    <m/>
    <m/>
    <x v="0"/>
    <m/>
    <m/>
  </r>
  <r>
    <s v="C173"/>
    <n v="22288"/>
    <n v="11440"/>
    <n v="0.1"/>
    <n v="10848"/>
    <m/>
    <m/>
    <x v="0"/>
    <m/>
    <m/>
  </r>
  <r>
    <s v="C174"/>
    <n v="39126"/>
    <n v="9709"/>
    <n v="0.11"/>
    <n v="29417"/>
    <m/>
    <m/>
    <x v="3"/>
    <m/>
    <m/>
  </r>
  <r>
    <s v="C175"/>
    <n v="46757"/>
    <n v="17149"/>
    <n v="0.18"/>
    <n v="29608"/>
    <m/>
    <m/>
    <x v="1"/>
    <m/>
    <m/>
  </r>
  <r>
    <s v="C176"/>
    <n v="30720"/>
    <n v="16445"/>
    <n v="0.28000000000000003"/>
    <n v="14275"/>
    <m/>
    <m/>
    <x v="0"/>
    <m/>
    <m/>
  </r>
  <r>
    <s v="C177"/>
    <n v="28495"/>
    <n v="21861"/>
    <n v="0.24"/>
    <n v="6634"/>
    <m/>
    <m/>
    <x v="0"/>
    <m/>
    <m/>
  </r>
  <r>
    <s v="C178"/>
    <n v="45461"/>
    <n v="11847"/>
    <n v="0.11"/>
    <n v="33614"/>
    <m/>
    <m/>
    <x v="1"/>
    <m/>
    <m/>
  </r>
  <r>
    <s v="C179"/>
    <n v="9398"/>
    <n v="28590"/>
    <n v="0.11"/>
    <n v="-19192"/>
    <m/>
    <m/>
    <x v="0"/>
    <m/>
    <m/>
  </r>
  <r>
    <s v="C180"/>
    <n v="29494"/>
    <n v="27789"/>
    <n v="0.1"/>
    <n v="1705"/>
    <m/>
    <m/>
    <x v="0"/>
    <m/>
    <m/>
  </r>
  <r>
    <s v="C181"/>
    <n v="36659"/>
    <n v="25284"/>
    <n v="0.24"/>
    <n v="11375"/>
    <m/>
    <m/>
    <x v="0"/>
    <m/>
    <m/>
  </r>
  <r>
    <s v="C182"/>
    <n v="12477"/>
    <n v="11630"/>
    <n v="0.11"/>
    <n v="847"/>
    <m/>
    <m/>
    <x v="0"/>
    <m/>
    <m/>
  </r>
  <r>
    <s v="C183"/>
    <n v="24867"/>
    <n v="3755"/>
    <n v="0.06"/>
    <n v="21112"/>
    <m/>
    <m/>
    <x v="0"/>
    <m/>
    <m/>
  </r>
  <r>
    <s v="C184"/>
    <n v="5928"/>
    <n v="14362"/>
    <n v="0.3"/>
    <n v="-8434"/>
    <m/>
    <m/>
    <x v="0"/>
    <m/>
    <m/>
  </r>
  <r>
    <s v="C185"/>
    <n v="29946"/>
    <n v="22636"/>
    <n v="0.13"/>
    <n v="7310"/>
    <m/>
    <m/>
    <x v="0"/>
    <m/>
    <m/>
  </r>
  <r>
    <s v="C186"/>
    <n v="43525"/>
    <n v="17035"/>
    <n v="0.21"/>
    <n v="26490"/>
    <m/>
    <m/>
    <x v="1"/>
    <m/>
    <m/>
  </r>
  <r>
    <s v="C187"/>
    <n v="10799"/>
    <n v="4052"/>
    <n v="0.04"/>
    <n v="6747"/>
    <m/>
    <m/>
    <x v="0"/>
    <m/>
    <m/>
  </r>
  <r>
    <s v="C188"/>
    <n v="1914"/>
    <n v="29848"/>
    <n v="0.25"/>
    <n v="-27934"/>
    <m/>
    <m/>
    <x v="0"/>
    <m/>
    <m/>
  </r>
  <r>
    <s v="C189"/>
    <n v="43344"/>
    <n v="19782"/>
    <n v="0.28999999999999998"/>
    <n v="23562"/>
    <m/>
    <m/>
    <x v="1"/>
    <m/>
    <m/>
  </r>
  <r>
    <s v="C190"/>
    <n v="27307"/>
    <n v="25758"/>
    <n v="0.17"/>
    <n v="1549"/>
    <m/>
    <m/>
    <x v="0"/>
    <m/>
    <m/>
  </r>
  <r>
    <s v="C191"/>
    <n v="47545"/>
    <n v="22756"/>
    <n v="0.24"/>
    <n v="24789"/>
    <m/>
    <m/>
    <x v="1"/>
    <m/>
    <m/>
  </r>
  <r>
    <s v="C192"/>
    <n v="36921"/>
    <n v="6281"/>
    <n v="0.16"/>
    <n v="30640"/>
    <m/>
    <m/>
    <x v="3"/>
    <m/>
    <m/>
  </r>
  <r>
    <s v="C193"/>
    <n v="30495"/>
    <n v="23501"/>
    <n v="0.18"/>
    <n v="6994"/>
    <m/>
    <m/>
    <x v="0"/>
    <m/>
    <m/>
  </r>
  <r>
    <s v="C194"/>
    <n v="26162"/>
    <n v="16549"/>
    <n v="0.25"/>
    <n v="9613"/>
    <m/>
    <m/>
    <x v="0"/>
    <m/>
    <m/>
  </r>
  <r>
    <s v="C195"/>
    <n v="13610"/>
    <n v="22390"/>
    <n v="0.23"/>
    <n v="-8780"/>
    <m/>
    <m/>
    <x v="0"/>
    <m/>
    <m/>
  </r>
  <r>
    <s v="C196"/>
    <n v="23972"/>
    <n v="26902"/>
    <n v="0.04"/>
    <n v="-2930"/>
    <m/>
    <m/>
    <x v="0"/>
    <m/>
    <m/>
  </r>
  <r>
    <s v="C197"/>
    <n v="26196"/>
    <n v="29768"/>
    <n v="0.05"/>
    <n v="-3572"/>
    <m/>
    <m/>
    <x v="0"/>
    <m/>
    <m/>
  </r>
  <r>
    <s v="C198"/>
    <n v="16843"/>
    <n v="543"/>
    <n v="0.13"/>
    <n v="16300"/>
    <m/>
    <m/>
    <x v="0"/>
    <m/>
    <m/>
  </r>
  <r>
    <s v="C199"/>
    <n v="30398"/>
    <n v="28694"/>
    <n v="0.05"/>
    <n v="1704"/>
    <m/>
    <m/>
    <x v="0"/>
    <m/>
    <m/>
  </r>
  <r>
    <s v="C200"/>
    <n v="29872"/>
    <n v="16653"/>
    <n v="0.02"/>
    <n v="13219"/>
    <m/>
    <m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EDF7A-E86B-4782-9D7D-E60BEB685A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ragToRow="0" dragToCol="0" dragToPage="0"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381AF-6F04-4771-ADCB-D69D3E1FFA4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ragToRow="0" dragToCol="0" dragToPage="0"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_Profi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B394A-AC15-4C9E-BD37-A83F943A446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11">
    <pivotField showAll="0"/>
    <pivotField dataField="1"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ataField="1" dragToRow="0" dragToCol="0" dragToPage="0"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" baseField="0" baseItem="0"/>
    <dataField name="Sum of Customer_Profit" fld="4" baseField="0" baseItem="0"/>
    <dataField name="Sum of Margin" fld="10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29C6-646B-40DE-AD70-48D0736008AC}">
  <dimension ref="A1:H201"/>
  <sheetViews>
    <sheetView workbookViewId="0">
      <selection activeCell="F1" sqref="F1:F1048576"/>
    </sheetView>
  </sheetViews>
  <sheetFormatPr defaultRowHeight="14.4" x14ac:dyDescent="0.3"/>
  <cols>
    <col min="1" max="1" width="15.21875" customWidth="1"/>
    <col min="3" max="3" width="15.44140625" customWidth="1"/>
    <col min="4" max="4" width="19.6640625" customWidth="1"/>
    <col min="5" max="5" width="17.6640625" customWidth="1"/>
    <col min="6" max="6" width="17.6640625" style="9" customWidth="1"/>
    <col min="7" max="7" width="15.88671875" customWidth="1"/>
    <col min="8" max="8" width="13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9" t="s">
        <v>238</v>
      </c>
      <c r="G1" t="s">
        <v>5</v>
      </c>
      <c r="H1" t="s">
        <v>6</v>
      </c>
    </row>
    <row r="2" spans="1:8" x14ac:dyDescent="0.3">
      <c r="A2" t="s">
        <v>7</v>
      </c>
      <c r="B2">
        <v>2658</v>
      </c>
      <c r="C2">
        <v>21973</v>
      </c>
      <c r="D2">
        <v>22</v>
      </c>
      <c r="E2" s="1">
        <v>0.22</v>
      </c>
      <c r="F2" s="10">
        <f>IF(E2&gt;1, E2/100, E2)</f>
        <v>0.22</v>
      </c>
      <c r="G2">
        <v>16</v>
      </c>
      <c r="H2">
        <v>23</v>
      </c>
    </row>
    <row r="3" spans="1:8" x14ac:dyDescent="0.3">
      <c r="A3" t="s">
        <v>8</v>
      </c>
      <c r="B3">
        <v>5103</v>
      </c>
      <c r="C3">
        <v>14484</v>
      </c>
      <c r="D3">
        <v>1</v>
      </c>
      <c r="E3" s="1">
        <v>15</v>
      </c>
      <c r="F3" s="10">
        <f t="shared" ref="F3:F66" si="0">IF(E3&gt;1, E3/100, E3)</f>
        <v>0.15</v>
      </c>
      <c r="G3">
        <v>18</v>
      </c>
      <c r="H3">
        <v>14</v>
      </c>
    </row>
    <row r="4" spans="1:8" x14ac:dyDescent="0.3">
      <c r="A4" t="s">
        <v>10</v>
      </c>
      <c r="B4">
        <v>25079</v>
      </c>
      <c r="C4">
        <v>27280</v>
      </c>
      <c r="D4">
        <v>11</v>
      </c>
      <c r="E4" s="1">
        <v>0.18</v>
      </c>
      <c r="F4" s="10">
        <f t="shared" si="0"/>
        <v>0.18</v>
      </c>
      <c r="G4">
        <v>16</v>
      </c>
      <c r="H4">
        <v>56</v>
      </c>
    </row>
    <row r="5" spans="1:8" x14ac:dyDescent="0.3">
      <c r="A5" t="s">
        <v>11</v>
      </c>
      <c r="B5">
        <v>16960</v>
      </c>
      <c r="C5">
        <v>26875</v>
      </c>
      <c r="D5">
        <v>12</v>
      </c>
      <c r="E5" s="1">
        <v>0.21</v>
      </c>
      <c r="F5" s="10">
        <f t="shared" si="0"/>
        <v>0.21</v>
      </c>
      <c r="G5">
        <v>20</v>
      </c>
      <c r="H5">
        <v>10</v>
      </c>
    </row>
    <row r="6" spans="1:8" x14ac:dyDescent="0.3">
      <c r="A6" t="s">
        <v>12</v>
      </c>
      <c r="B6">
        <v>30841</v>
      </c>
      <c r="C6">
        <v>7986</v>
      </c>
      <c r="D6">
        <v>2</v>
      </c>
      <c r="E6" s="1">
        <v>0.12</v>
      </c>
      <c r="F6" s="10">
        <f t="shared" si="0"/>
        <v>0.12</v>
      </c>
      <c r="G6">
        <v>5</v>
      </c>
      <c r="H6">
        <v>9</v>
      </c>
    </row>
    <row r="7" spans="1:8" x14ac:dyDescent="0.3">
      <c r="A7" t="s">
        <v>13</v>
      </c>
      <c r="B7">
        <v>25139</v>
      </c>
      <c r="C7">
        <v>19876</v>
      </c>
      <c r="D7">
        <v>30</v>
      </c>
      <c r="E7" s="1">
        <v>12</v>
      </c>
      <c r="F7" s="10">
        <f t="shared" si="0"/>
        <v>0.12</v>
      </c>
      <c r="G7">
        <v>15</v>
      </c>
      <c r="H7">
        <v>53</v>
      </c>
    </row>
    <row r="8" spans="1:8" x14ac:dyDescent="0.3">
      <c r="A8" t="s">
        <v>15</v>
      </c>
      <c r="B8">
        <v>11116</v>
      </c>
      <c r="C8">
        <v>10808</v>
      </c>
      <c r="D8">
        <v>12</v>
      </c>
      <c r="E8" s="1">
        <v>0.25</v>
      </c>
      <c r="F8" s="10">
        <f t="shared" si="0"/>
        <v>0.25</v>
      </c>
      <c r="G8">
        <v>3</v>
      </c>
      <c r="H8">
        <v>11</v>
      </c>
    </row>
    <row r="9" spans="1:8" x14ac:dyDescent="0.3">
      <c r="A9" t="s">
        <v>16</v>
      </c>
      <c r="B9">
        <v>44869</v>
      </c>
      <c r="C9">
        <v>16868</v>
      </c>
      <c r="D9">
        <v>22</v>
      </c>
      <c r="E9" s="1">
        <v>0.24</v>
      </c>
      <c r="F9" s="10">
        <f t="shared" si="0"/>
        <v>0.24</v>
      </c>
      <c r="G9">
        <v>3</v>
      </c>
      <c r="H9">
        <v>38</v>
      </c>
    </row>
    <row r="10" spans="1:8" x14ac:dyDescent="0.3">
      <c r="A10" t="s">
        <v>17</v>
      </c>
      <c r="B10">
        <v>40105</v>
      </c>
      <c r="C10">
        <v>2256</v>
      </c>
      <c r="D10">
        <v>6</v>
      </c>
      <c r="E10" s="1">
        <v>0.25</v>
      </c>
      <c r="F10" s="10">
        <f t="shared" si="0"/>
        <v>0.25</v>
      </c>
      <c r="G10">
        <v>20</v>
      </c>
      <c r="H10">
        <v>57</v>
      </c>
    </row>
    <row r="11" spans="1:8" x14ac:dyDescent="0.3">
      <c r="A11" t="s">
        <v>18</v>
      </c>
      <c r="B11">
        <v>48507</v>
      </c>
      <c r="C11">
        <v>7943</v>
      </c>
      <c r="D11">
        <v>20</v>
      </c>
      <c r="E11" s="1">
        <v>0.17</v>
      </c>
      <c r="F11" s="10">
        <f t="shared" si="0"/>
        <v>0.17</v>
      </c>
      <c r="G11">
        <v>6</v>
      </c>
      <c r="H11">
        <v>39</v>
      </c>
    </row>
    <row r="12" spans="1:8" x14ac:dyDescent="0.3">
      <c r="A12" t="s">
        <v>19</v>
      </c>
      <c r="B12">
        <v>12530</v>
      </c>
      <c r="C12">
        <v>23509</v>
      </c>
      <c r="D12">
        <v>4</v>
      </c>
      <c r="E12" s="1">
        <v>0.3</v>
      </c>
      <c r="F12" s="10">
        <f t="shared" si="0"/>
        <v>0.3</v>
      </c>
      <c r="G12">
        <v>16</v>
      </c>
      <c r="H12">
        <v>58</v>
      </c>
    </row>
    <row r="13" spans="1:8" x14ac:dyDescent="0.3">
      <c r="A13" t="s">
        <v>20</v>
      </c>
      <c r="B13">
        <v>13702</v>
      </c>
      <c r="C13">
        <v>24076</v>
      </c>
      <c r="D13">
        <v>6</v>
      </c>
      <c r="E13" s="1">
        <v>6</v>
      </c>
      <c r="F13" s="10">
        <f t="shared" si="0"/>
        <v>0.06</v>
      </c>
      <c r="G13">
        <v>11</v>
      </c>
      <c r="H13">
        <v>2</v>
      </c>
    </row>
    <row r="14" spans="1:8" x14ac:dyDescent="0.3">
      <c r="A14" t="s">
        <v>22</v>
      </c>
      <c r="B14">
        <v>49946</v>
      </c>
      <c r="C14">
        <v>22297</v>
      </c>
      <c r="D14">
        <v>6</v>
      </c>
      <c r="E14" s="1">
        <v>21</v>
      </c>
      <c r="F14" s="10">
        <f t="shared" si="0"/>
        <v>0.21</v>
      </c>
      <c r="G14">
        <v>2</v>
      </c>
      <c r="H14">
        <v>72</v>
      </c>
    </row>
    <row r="15" spans="1:8" x14ac:dyDescent="0.3">
      <c r="A15" t="s">
        <v>24</v>
      </c>
      <c r="B15">
        <v>2841</v>
      </c>
      <c r="C15">
        <v>5160</v>
      </c>
      <c r="D15">
        <v>20</v>
      </c>
      <c r="E15" s="1">
        <v>0.14000000000000001</v>
      </c>
      <c r="F15" s="10">
        <f t="shared" si="0"/>
        <v>0.14000000000000001</v>
      </c>
      <c r="G15">
        <v>19</v>
      </c>
      <c r="H15">
        <v>50</v>
      </c>
    </row>
    <row r="16" spans="1:8" x14ac:dyDescent="0.3">
      <c r="A16" t="s">
        <v>25</v>
      </c>
      <c r="B16">
        <v>24430</v>
      </c>
      <c r="C16">
        <v>19343</v>
      </c>
      <c r="D16">
        <v>26</v>
      </c>
      <c r="E16" s="1">
        <v>19</v>
      </c>
      <c r="F16" s="10">
        <f t="shared" si="0"/>
        <v>0.19</v>
      </c>
      <c r="G16">
        <v>15</v>
      </c>
      <c r="H16">
        <v>19</v>
      </c>
    </row>
    <row r="17" spans="1:8" x14ac:dyDescent="0.3">
      <c r="A17" t="s">
        <v>27</v>
      </c>
      <c r="B17">
        <v>43130</v>
      </c>
      <c r="C17">
        <v>21994</v>
      </c>
      <c r="D17">
        <v>23</v>
      </c>
      <c r="E17" s="1">
        <v>0.13</v>
      </c>
      <c r="F17" s="10">
        <f t="shared" si="0"/>
        <v>0.13</v>
      </c>
      <c r="G17">
        <v>14</v>
      </c>
      <c r="H17">
        <v>44</v>
      </c>
    </row>
    <row r="18" spans="1:8" x14ac:dyDescent="0.3">
      <c r="A18" t="s">
        <v>28</v>
      </c>
      <c r="B18">
        <v>41312</v>
      </c>
      <c r="C18">
        <v>15974</v>
      </c>
      <c r="D18">
        <v>1</v>
      </c>
      <c r="E18" s="1">
        <v>0.13</v>
      </c>
      <c r="F18" s="10">
        <f t="shared" si="0"/>
        <v>0.13</v>
      </c>
      <c r="G18">
        <v>9</v>
      </c>
      <c r="H18">
        <v>30</v>
      </c>
    </row>
    <row r="19" spans="1:8" x14ac:dyDescent="0.3">
      <c r="A19" t="s">
        <v>29</v>
      </c>
      <c r="B19">
        <v>43466</v>
      </c>
      <c r="C19">
        <v>19122</v>
      </c>
      <c r="D19">
        <v>5</v>
      </c>
      <c r="E19" s="1">
        <v>13</v>
      </c>
      <c r="F19" s="10">
        <f t="shared" si="0"/>
        <v>0.13</v>
      </c>
      <c r="G19">
        <v>0</v>
      </c>
      <c r="H19">
        <v>11</v>
      </c>
    </row>
    <row r="20" spans="1:8" x14ac:dyDescent="0.3">
      <c r="A20" t="s">
        <v>31</v>
      </c>
      <c r="B20">
        <v>6420</v>
      </c>
      <c r="C20">
        <v>14730</v>
      </c>
      <c r="D20">
        <v>30</v>
      </c>
      <c r="E20" s="1">
        <v>0.02</v>
      </c>
      <c r="F20" s="10">
        <f t="shared" si="0"/>
        <v>0.02</v>
      </c>
      <c r="G20">
        <v>8</v>
      </c>
      <c r="H20">
        <v>57</v>
      </c>
    </row>
    <row r="21" spans="1:8" x14ac:dyDescent="0.3">
      <c r="A21" t="s">
        <v>32</v>
      </c>
      <c r="B21">
        <v>38243</v>
      </c>
      <c r="C21">
        <v>7779</v>
      </c>
      <c r="D21">
        <v>9</v>
      </c>
      <c r="E21" s="1">
        <v>6</v>
      </c>
      <c r="F21" s="10">
        <f t="shared" si="0"/>
        <v>0.06</v>
      </c>
      <c r="G21">
        <v>14</v>
      </c>
      <c r="H21">
        <v>1</v>
      </c>
    </row>
    <row r="22" spans="1:8" x14ac:dyDescent="0.3">
      <c r="A22" t="s">
        <v>33</v>
      </c>
      <c r="B22">
        <v>47981</v>
      </c>
      <c r="C22">
        <v>12177</v>
      </c>
      <c r="D22">
        <v>2</v>
      </c>
      <c r="E22" s="1">
        <v>0.25</v>
      </c>
      <c r="F22" s="10">
        <f t="shared" si="0"/>
        <v>0.25</v>
      </c>
      <c r="G22">
        <v>17</v>
      </c>
      <c r="H22">
        <v>69</v>
      </c>
    </row>
    <row r="23" spans="1:8" x14ac:dyDescent="0.3">
      <c r="A23" t="s">
        <v>34</v>
      </c>
      <c r="B23">
        <v>48072</v>
      </c>
      <c r="C23">
        <v>27827</v>
      </c>
      <c r="D23">
        <v>28</v>
      </c>
      <c r="E23" s="1">
        <v>30</v>
      </c>
      <c r="F23" s="10">
        <f t="shared" si="0"/>
        <v>0.3</v>
      </c>
      <c r="G23">
        <v>1</v>
      </c>
      <c r="H23">
        <v>6</v>
      </c>
    </row>
    <row r="24" spans="1:8" x14ac:dyDescent="0.3">
      <c r="A24" t="s">
        <v>36</v>
      </c>
      <c r="B24">
        <v>2729</v>
      </c>
      <c r="C24">
        <v>28066</v>
      </c>
      <c r="D24">
        <v>12</v>
      </c>
      <c r="E24" s="1">
        <v>0.18</v>
      </c>
      <c r="F24" s="10">
        <f t="shared" si="0"/>
        <v>0.18</v>
      </c>
      <c r="G24">
        <v>15</v>
      </c>
      <c r="H24">
        <v>71</v>
      </c>
    </row>
    <row r="25" spans="1:8" x14ac:dyDescent="0.3">
      <c r="A25" t="s">
        <v>37</v>
      </c>
      <c r="B25">
        <v>48456</v>
      </c>
      <c r="C25">
        <v>29990</v>
      </c>
      <c r="D25">
        <v>24</v>
      </c>
      <c r="E25" s="1">
        <v>0.19</v>
      </c>
      <c r="F25" s="10">
        <f t="shared" si="0"/>
        <v>0.19</v>
      </c>
      <c r="G25">
        <v>0</v>
      </c>
      <c r="H25">
        <v>27</v>
      </c>
    </row>
    <row r="26" spans="1:8" x14ac:dyDescent="0.3">
      <c r="A26" t="s">
        <v>38</v>
      </c>
      <c r="B26">
        <v>42662</v>
      </c>
      <c r="C26">
        <v>22929</v>
      </c>
      <c r="D26">
        <v>21</v>
      </c>
      <c r="E26" s="1">
        <v>0.19</v>
      </c>
      <c r="F26" s="10">
        <f t="shared" si="0"/>
        <v>0.19</v>
      </c>
      <c r="G26">
        <v>3</v>
      </c>
      <c r="H26">
        <v>14</v>
      </c>
    </row>
    <row r="27" spans="1:8" x14ac:dyDescent="0.3">
      <c r="A27" t="s">
        <v>39</v>
      </c>
      <c r="B27">
        <v>35379</v>
      </c>
      <c r="C27">
        <v>11518</v>
      </c>
      <c r="D27">
        <v>7</v>
      </c>
      <c r="E27" s="1">
        <v>7</v>
      </c>
      <c r="F27" s="10">
        <f t="shared" si="0"/>
        <v>7.0000000000000007E-2</v>
      </c>
      <c r="G27">
        <v>19</v>
      </c>
      <c r="H27">
        <v>38</v>
      </c>
    </row>
    <row r="28" spans="1:8" x14ac:dyDescent="0.3">
      <c r="A28" t="s">
        <v>41</v>
      </c>
      <c r="B28">
        <v>38190</v>
      </c>
      <c r="C28">
        <v>22035</v>
      </c>
      <c r="D28">
        <v>11</v>
      </c>
      <c r="E28" s="1">
        <v>7.0000000000000007E-2</v>
      </c>
      <c r="F28" s="10">
        <f t="shared" si="0"/>
        <v>7.0000000000000007E-2</v>
      </c>
      <c r="G28">
        <v>3</v>
      </c>
      <c r="H28">
        <v>10</v>
      </c>
    </row>
    <row r="29" spans="1:8" x14ac:dyDescent="0.3">
      <c r="A29" t="s">
        <v>42</v>
      </c>
      <c r="B29">
        <v>31980</v>
      </c>
      <c r="C29">
        <v>2145</v>
      </c>
      <c r="D29">
        <v>24</v>
      </c>
      <c r="E29" s="1">
        <v>0.17</v>
      </c>
      <c r="F29" s="10">
        <f t="shared" si="0"/>
        <v>0.17</v>
      </c>
      <c r="G29">
        <v>1</v>
      </c>
      <c r="H29">
        <v>48</v>
      </c>
    </row>
    <row r="30" spans="1:8" x14ac:dyDescent="0.3">
      <c r="A30" t="s">
        <v>43</v>
      </c>
      <c r="B30">
        <v>33508</v>
      </c>
      <c r="C30">
        <v>7252</v>
      </c>
      <c r="D30">
        <v>27</v>
      </c>
      <c r="E30" s="1">
        <v>3</v>
      </c>
      <c r="F30" s="10">
        <f t="shared" si="0"/>
        <v>0.03</v>
      </c>
      <c r="G30">
        <v>14</v>
      </c>
      <c r="H30">
        <v>16</v>
      </c>
    </row>
    <row r="31" spans="1:8" x14ac:dyDescent="0.3">
      <c r="A31" t="s">
        <v>45</v>
      </c>
      <c r="B31">
        <v>31918</v>
      </c>
      <c r="C31" t="s">
        <v>46</v>
      </c>
      <c r="D31">
        <v>9</v>
      </c>
      <c r="E31" s="1">
        <v>24</v>
      </c>
      <c r="F31" s="10">
        <f t="shared" si="0"/>
        <v>0.24</v>
      </c>
      <c r="G31">
        <v>20</v>
      </c>
      <c r="H31">
        <v>55</v>
      </c>
    </row>
    <row r="32" spans="1:8" x14ac:dyDescent="0.3">
      <c r="A32" t="s">
        <v>48</v>
      </c>
      <c r="B32">
        <v>21796</v>
      </c>
      <c r="C32">
        <v>24046</v>
      </c>
      <c r="D32">
        <v>20</v>
      </c>
      <c r="E32" s="1">
        <v>15</v>
      </c>
      <c r="F32" s="10">
        <f t="shared" si="0"/>
        <v>0.15</v>
      </c>
      <c r="G32">
        <v>18</v>
      </c>
      <c r="H32">
        <v>54</v>
      </c>
    </row>
    <row r="33" spans="1:8" x14ac:dyDescent="0.3">
      <c r="A33" t="s">
        <v>49</v>
      </c>
      <c r="B33">
        <v>49521</v>
      </c>
      <c r="C33">
        <v>19342</v>
      </c>
      <c r="D33">
        <v>5</v>
      </c>
      <c r="E33" s="1">
        <v>0.21</v>
      </c>
      <c r="F33" s="10">
        <f t="shared" si="0"/>
        <v>0.21</v>
      </c>
      <c r="G33">
        <v>8</v>
      </c>
      <c r="H33">
        <v>60</v>
      </c>
    </row>
    <row r="34" spans="1:8" x14ac:dyDescent="0.3">
      <c r="A34" t="s">
        <v>50</v>
      </c>
      <c r="B34">
        <v>24992</v>
      </c>
      <c r="C34">
        <v>6860</v>
      </c>
      <c r="D34">
        <v>25</v>
      </c>
      <c r="E34" s="1">
        <v>15</v>
      </c>
      <c r="F34" s="10">
        <f t="shared" si="0"/>
        <v>0.15</v>
      </c>
      <c r="G34">
        <v>15</v>
      </c>
      <c r="H34">
        <v>65</v>
      </c>
    </row>
    <row r="35" spans="1:8" x14ac:dyDescent="0.3">
      <c r="A35" t="s">
        <v>51</v>
      </c>
      <c r="B35">
        <v>14168</v>
      </c>
      <c r="C35">
        <v>2237</v>
      </c>
      <c r="D35">
        <v>6</v>
      </c>
      <c r="E35" s="1">
        <v>0.25</v>
      </c>
      <c r="F35" s="10">
        <f t="shared" si="0"/>
        <v>0.25</v>
      </c>
      <c r="G35">
        <v>3</v>
      </c>
      <c r="H35">
        <v>60</v>
      </c>
    </row>
    <row r="36" spans="1:8" x14ac:dyDescent="0.3">
      <c r="A36" t="s">
        <v>52</v>
      </c>
      <c r="B36">
        <v>13475</v>
      </c>
      <c r="C36">
        <v>3293</v>
      </c>
      <c r="D36">
        <v>9</v>
      </c>
      <c r="E36" s="1">
        <v>0.28999999999999998</v>
      </c>
      <c r="F36" s="10">
        <f t="shared" si="0"/>
        <v>0.28999999999999998</v>
      </c>
      <c r="G36">
        <v>17</v>
      </c>
      <c r="H36">
        <v>8</v>
      </c>
    </row>
    <row r="37" spans="1:8" x14ac:dyDescent="0.3">
      <c r="A37" t="s">
        <v>53</v>
      </c>
      <c r="B37">
        <v>29892</v>
      </c>
      <c r="C37">
        <v>28329</v>
      </c>
      <c r="D37">
        <v>14</v>
      </c>
      <c r="E37" s="1">
        <v>8</v>
      </c>
      <c r="F37" s="10">
        <f t="shared" si="0"/>
        <v>0.08</v>
      </c>
      <c r="G37">
        <v>2</v>
      </c>
      <c r="H37">
        <v>67</v>
      </c>
    </row>
    <row r="38" spans="1:8" x14ac:dyDescent="0.3">
      <c r="A38" t="s">
        <v>55</v>
      </c>
      <c r="B38">
        <v>10507</v>
      </c>
      <c r="C38">
        <v>28524</v>
      </c>
      <c r="D38">
        <v>20</v>
      </c>
      <c r="E38" s="1">
        <v>23</v>
      </c>
      <c r="F38" s="10">
        <f t="shared" si="0"/>
        <v>0.23</v>
      </c>
      <c r="G38">
        <v>3</v>
      </c>
      <c r="H38">
        <v>30</v>
      </c>
    </row>
    <row r="39" spans="1:8" x14ac:dyDescent="0.3">
      <c r="A39" t="s">
        <v>57</v>
      </c>
      <c r="B39">
        <v>44476</v>
      </c>
      <c r="C39">
        <v>8811</v>
      </c>
      <c r="D39">
        <v>8</v>
      </c>
      <c r="E39" s="1">
        <v>0.26</v>
      </c>
      <c r="F39" s="10">
        <f t="shared" si="0"/>
        <v>0.26</v>
      </c>
      <c r="G39">
        <v>10</v>
      </c>
      <c r="H39">
        <v>62</v>
      </c>
    </row>
    <row r="40" spans="1:8" x14ac:dyDescent="0.3">
      <c r="A40" t="s">
        <v>58</v>
      </c>
      <c r="B40">
        <v>17860</v>
      </c>
      <c r="C40">
        <v>23935</v>
      </c>
      <c r="D40">
        <v>26</v>
      </c>
      <c r="E40" s="1">
        <v>0.05</v>
      </c>
      <c r="F40" s="10">
        <f t="shared" si="0"/>
        <v>0.05</v>
      </c>
      <c r="G40">
        <v>16</v>
      </c>
      <c r="H40">
        <v>29</v>
      </c>
    </row>
    <row r="41" spans="1:8" x14ac:dyDescent="0.3">
      <c r="A41" t="s">
        <v>59</v>
      </c>
      <c r="B41">
        <v>16645</v>
      </c>
      <c r="C41">
        <v>29691</v>
      </c>
      <c r="D41">
        <v>8</v>
      </c>
      <c r="E41" s="1">
        <v>30</v>
      </c>
      <c r="F41" s="10">
        <f t="shared" si="0"/>
        <v>0.3</v>
      </c>
      <c r="G41">
        <v>13</v>
      </c>
      <c r="H41">
        <v>67</v>
      </c>
    </row>
    <row r="42" spans="1:8" x14ac:dyDescent="0.3">
      <c r="A42" t="s">
        <v>60</v>
      </c>
      <c r="B42">
        <v>8465</v>
      </c>
      <c r="C42">
        <v>27589</v>
      </c>
      <c r="D42">
        <v>6</v>
      </c>
      <c r="E42" s="1">
        <v>0.06</v>
      </c>
      <c r="F42" s="10">
        <f t="shared" si="0"/>
        <v>0.06</v>
      </c>
      <c r="G42">
        <v>1</v>
      </c>
      <c r="H42">
        <v>34</v>
      </c>
    </row>
    <row r="43" spans="1:8" x14ac:dyDescent="0.3">
      <c r="A43" t="s">
        <v>61</v>
      </c>
      <c r="B43">
        <v>43908</v>
      </c>
      <c r="C43">
        <v>24510</v>
      </c>
      <c r="D43">
        <v>25</v>
      </c>
      <c r="E43" s="1">
        <v>17</v>
      </c>
      <c r="F43" s="10">
        <f t="shared" si="0"/>
        <v>0.17</v>
      </c>
      <c r="G43">
        <v>19</v>
      </c>
      <c r="H43">
        <v>72</v>
      </c>
    </row>
    <row r="44" spans="1:8" x14ac:dyDescent="0.3">
      <c r="A44" t="s">
        <v>63</v>
      </c>
      <c r="B44">
        <v>20014</v>
      </c>
      <c r="C44">
        <v>5860</v>
      </c>
      <c r="D44">
        <v>15</v>
      </c>
      <c r="E44" s="1">
        <v>0.17</v>
      </c>
      <c r="F44" s="10">
        <f t="shared" si="0"/>
        <v>0.17</v>
      </c>
      <c r="G44">
        <v>7</v>
      </c>
      <c r="H44">
        <v>4</v>
      </c>
    </row>
    <row r="45" spans="1:8" x14ac:dyDescent="0.3">
      <c r="A45" t="s">
        <v>64</v>
      </c>
      <c r="B45">
        <v>9133</v>
      </c>
      <c r="C45">
        <v>29513</v>
      </c>
      <c r="D45">
        <v>21</v>
      </c>
      <c r="E45" s="1">
        <v>0.3</v>
      </c>
      <c r="F45" s="10">
        <f t="shared" si="0"/>
        <v>0.3</v>
      </c>
      <c r="G45">
        <v>18</v>
      </c>
      <c r="H45">
        <v>61</v>
      </c>
    </row>
    <row r="46" spans="1:8" x14ac:dyDescent="0.3">
      <c r="A46" t="s">
        <v>65</v>
      </c>
      <c r="B46">
        <v>21037</v>
      </c>
      <c r="C46">
        <v>15022</v>
      </c>
      <c r="D46">
        <v>12</v>
      </c>
      <c r="E46" s="1">
        <v>0.01</v>
      </c>
      <c r="F46" s="10">
        <f t="shared" si="0"/>
        <v>0.01</v>
      </c>
      <c r="G46">
        <v>6</v>
      </c>
      <c r="H46">
        <v>44</v>
      </c>
    </row>
    <row r="47" spans="1:8" x14ac:dyDescent="0.3">
      <c r="A47" t="s">
        <v>66</v>
      </c>
      <c r="B47">
        <v>37702</v>
      </c>
      <c r="C47">
        <v>5541</v>
      </c>
      <c r="D47">
        <v>17</v>
      </c>
      <c r="E47" s="1">
        <v>8</v>
      </c>
      <c r="F47" s="10">
        <f t="shared" si="0"/>
        <v>0.08</v>
      </c>
      <c r="G47">
        <v>4</v>
      </c>
      <c r="H47">
        <v>52</v>
      </c>
    </row>
    <row r="48" spans="1:8" x14ac:dyDescent="0.3">
      <c r="A48" t="s">
        <v>67</v>
      </c>
      <c r="B48">
        <v>15213</v>
      </c>
      <c r="C48" t="s">
        <v>46</v>
      </c>
      <c r="D48">
        <v>11</v>
      </c>
      <c r="E48" s="1">
        <v>0.05</v>
      </c>
      <c r="F48" s="10">
        <f t="shared" si="0"/>
        <v>0.05</v>
      </c>
      <c r="G48">
        <v>0</v>
      </c>
      <c r="H48">
        <v>69</v>
      </c>
    </row>
    <row r="49" spans="1:8" x14ac:dyDescent="0.3">
      <c r="A49" t="s">
        <v>68</v>
      </c>
      <c r="B49">
        <v>38465</v>
      </c>
      <c r="C49" t="s">
        <v>46</v>
      </c>
      <c r="D49">
        <v>2</v>
      </c>
      <c r="E49" s="1">
        <v>25</v>
      </c>
      <c r="F49" s="10">
        <f t="shared" si="0"/>
        <v>0.25</v>
      </c>
      <c r="G49">
        <v>0</v>
      </c>
      <c r="H49">
        <v>12</v>
      </c>
    </row>
    <row r="50" spans="1:8" x14ac:dyDescent="0.3">
      <c r="A50" t="s">
        <v>70</v>
      </c>
      <c r="B50">
        <v>40964</v>
      </c>
      <c r="C50">
        <v>7316</v>
      </c>
      <c r="D50">
        <v>27</v>
      </c>
      <c r="E50" s="1">
        <v>0.3</v>
      </c>
      <c r="F50" s="10">
        <f t="shared" si="0"/>
        <v>0.3</v>
      </c>
      <c r="G50">
        <v>15</v>
      </c>
      <c r="H50">
        <v>45</v>
      </c>
    </row>
    <row r="51" spans="1:8" x14ac:dyDescent="0.3">
      <c r="A51" t="s">
        <v>71</v>
      </c>
      <c r="B51">
        <v>3354</v>
      </c>
      <c r="C51">
        <v>26453</v>
      </c>
      <c r="D51">
        <v>5</v>
      </c>
      <c r="E51" s="1">
        <v>10</v>
      </c>
      <c r="F51" s="10">
        <f t="shared" si="0"/>
        <v>0.1</v>
      </c>
      <c r="G51">
        <v>2</v>
      </c>
      <c r="H51">
        <v>55</v>
      </c>
    </row>
    <row r="52" spans="1:8" x14ac:dyDescent="0.3">
      <c r="A52" t="s">
        <v>73</v>
      </c>
      <c r="B52">
        <v>39754</v>
      </c>
      <c r="C52">
        <v>17071</v>
      </c>
      <c r="D52">
        <v>7</v>
      </c>
      <c r="E52" s="1">
        <v>0.19</v>
      </c>
      <c r="F52" s="10">
        <f t="shared" si="0"/>
        <v>0.19</v>
      </c>
      <c r="G52">
        <v>10</v>
      </c>
      <c r="H52">
        <v>65</v>
      </c>
    </row>
    <row r="53" spans="1:8" x14ac:dyDescent="0.3">
      <c r="A53" t="s">
        <v>74</v>
      </c>
      <c r="B53">
        <v>9655</v>
      </c>
      <c r="C53">
        <v>9733</v>
      </c>
      <c r="D53">
        <v>24</v>
      </c>
      <c r="E53" s="1">
        <v>0.13</v>
      </c>
      <c r="F53" s="10">
        <f t="shared" si="0"/>
        <v>0.13</v>
      </c>
      <c r="G53">
        <v>2</v>
      </c>
      <c r="H53">
        <v>46</v>
      </c>
    </row>
    <row r="54" spans="1:8" x14ac:dyDescent="0.3">
      <c r="A54" t="s">
        <v>75</v>
      </c>
      <c r="B54">
        <v>14600</v>
      </c>
      <c r="C54">
        <v>13535</v>
      </c>
      <c r="D54">
        <v>17</v>
      </c>
      <c r="E54" s="1">
        <v>13</v>
      </c>
      <c r="F54" s="10">
        <f t="shared" si="0"/>
        <v>0.13</v>
      </c>
      <c r="G54">
        <v>16</v>
      </c>
      <c r="H54">
        <v>14</v>
      </c>
    </row>
    <row r="55" spans="1:8" x14ac:dyDescent="0.3">
      <c r="A55" t="s">
        <v>76</v>
      </c>
      <c r="B55">
        <v>43298</v>
      </c>
      <c r="C55">
        <v>7241</v>
      </c>
      <c r="D55">
        <v>22</v>
      </c>
      <c r="E55" s="1">
        <v>3</v>
      </c>
      <c r="F55" s="10">
        <f t="shared" si="0"/>
        <v>0.03</v>
      </c>
      <c r="G55">
        <v>18</v>
      </c>
      <c r="H55">
        <v>30</v>
      </c>
    </row>
    <row r="56" spans="1:8" x14ac:dyDescent="0.3">
      <c r="A56" t="s">
        <v>77</v>
      </c>
      <c r="B56">
        <v>20624</v>
      </c>
      <c r="C56">
        <v>26135</v>
      </c>
      <c r="D56">
        <v>26</v>
      </c>
      <c r="E56" s="1">
        <v>0.18</v>
      </c>
      <c r="F56" s="10">
        <f t="shared" si="0"/>
        <v>0.18</v>
      </c>
      <c r="G56">
        <v>20</v>
      </c>
      <c r="H56">
        <v>42</v>
      </c>
    </row>
    <row r="57" spans="1:8" x14ac:dyDescent="0.3">
      <c r="A57" t="s">
        <v>78</v>
      </c>
      <c r="B57">
        <v>24598</v>
      </c>
      <c r="C57">
        <v>8860</v>
      </c>
      <c r="D57">
        <v>22</v>
      </c>
      <c r="E57" s="1">
        <v>19</v>
      </c>
      <c r="F57" s="10">
        <f t="shared" si="0"/>
        <v>0.19</v>
      </c>
      <c r="G57">
        <v>20</v>
      </c>
      <c r="H57">
        <v>35</v>
      </c>
    </row>
    <row r="58" spans="1:8" x14ac:dyDescent="0.3">
      <c r="A58" t="s">
        <v>79</v>
      </c>
      <c r="B58">
        <v>30928</v>
      </c>
      <c r="C58">
        <v>11129</v>
      </c>
      <c r="D58">
        <v>15</v>
      </c>
      <c r="E58" s="1">
        <v>30</v>
      </c>
      <c r="F58" s="10">
        <f t="shared" si="0"/>
        <v>0.3</v>
      </c>
      <c r="G58">
        <v>19</v>
      </c>
      <c r="H58">
        <v>56</v>
      </c>
    </row>
    <row r="59" spans="1:8" x14ac:dyDescent="0.3">
      <c r="A59" t="s">
        <v>80</v>
      </c>
      <c r="B59">
        <v>5161</v>
      </c>
      <c r="C59" t="s">
        <v>46</v>
      </c>
      <c r="D59">
        <v>25</v>
      </c>
      <c r="E59" s="1">
        <v>28</v>
      </c>
      <c r="F59" s="10">
        <f t="shared" si="0"/>
        <v>0.28000000000000003</v>
      </c>
      <c r="G59">
        <v>9</v>
      </c>
      <c r="H59">
        <v>48</v>
      </c>
    </row>
    <row r="60" spans="1:8" x14ac:dyDescent="0.3">
      <c r="A60" t="s">
        <v>82</v>
      </c>
      <c r="B60">
        <v>44453</v>
      </c>
      <c r="C60">
        <v>11062</v>
      </c>
      <c r="D60">
        <v>15</v>
      </c>
      <c r="E60" s="1">
        <v>0.02</v>
      </c>
      <c r="F60" s="10">
        <f t="shared" si="0"/>
        <v>0.02</v>
      </c>
      <c r="G60">
        <v>8</v>
      </c>
      <c r="H60">
        <v>22</v>
      </c>
    </row>
    <row r="61" spans="1:8" x14ac:dyDescent="0.3">
      <c r="A61" t="s">
        <v>83</v>
      </c>
      <c r="B61">
        <v>30775</v>
      </c>
      <c r="C61">
        <v>17693</v>
      </c>
      <c r="D61">
        <v>9</v>
      </c>
      <c r="E61" s="1">
        <v>0.17</v>
      </c>
      <c r="F61" s="10">
        <f t="shared" si="0"/>
        <v>0.17</v>
      </c>
      <c r="G61">
        <v>8</v>
      </c>
      <c r="H61">
        <v>18</v>
      </c>
    </row>
    <row r="62" spans="1:8" x14ac:dyDescent="0.3">
      <c r="A62" t="s">
        <v>84</v>
      </c>
      <c r="B62">
        <v>19789</v>
      </c>
      <c r="C62">
        <v>6752</v>
      </c>
      <c r="D62">
        <v>17</v>
      </c>
      <c r="E62" s="1">
        <v>10</v>
      </c>
      <c r="F62" s="10">
        <f t="shared" si="0"/>
        <v>0.1</v>
      </c>
      <c r="G62">
        <v>16</v>
      </c>
      <c r="H62">
        <v>4</v>
      </c>
    </row>
    <row r="63" spans="1:8" x14ac:dyDescent="0.3">
      <c r="A63" t="s">
        <v>85</v>
      </c>
      <c r="B63">
        <v>43255</v>
      </c>
      <c r="C63">
        <v>14529</v>
      </c>
      <c r="D63">
        <v>14</v>
      </c>
      <c r="E63" s="1">
        <v>20</v>
      </c>
      <c r="F63" s="10">
        <f t="shared" si="0"/>
        <v>0.2</v>
      </c>
      <c r="G63">
        <v>19</v>
      </c>
      <c r="H63">
        <v>12</v>
      </c>
    </row>
    <row r="64" spans="1:8" x14ac:dyDescent="0.3">
      <c r="A64" t="s">
        <v>87</v>
      </c>
      <c r="B64">
        <v>4506</v>
      </c>
      <c r="C64">
        <v>21797</v>
      </c>
      <c r="D64">
        <v>28</v>
      </c>
      <c r="E64" s="1">
        <v>0.17</v>
      </c>
      <c r="F64" s="10">
        <f t="shared" si="0"/>
        <v>0.17</v>
      </c>
      <c r="G64">
        <v>19</v>
      </c>
      <c r="H64">
        <v>35</v>
      </c>
    </row>
    <row r="65" spans="1:8" x14ac:dyDescent="0.3">
      <c r="A65" t="s">
        <v>88</v>
      </c>
      <c r="B65">
        <v>22342</v>
      </c>
      <c r="C65">
        <v>21828</v>
      </c>
      <c r="D65">
        <v>10</v>
      </c>
      <c r="E65" s="1">
        <v>0.1</v>
      </c>
      <c r="F65" s="10">
        <f t="shared" si="0"/>
        <v>0.1</v>
      </c>
      <c r="G65">
        <v>5</v>
      </c>
      <c r="H65">
        <v>4</v>
      </c>
    </row>
    <row r="66" spans="1:8" x14ac:dyDescent="0.3">
      <c r="A66" t="s">
        <v>89</v>
      </c>
      <c r="B66">
        <v>37720</v>
      </c>
      <c r="C66">
        <v>19960</v>
      </c>
      <c r="D66">
        <v>4</v>
      </c>
      <c r="E66" s="1">
        <v>22</v>
      </c>
      <c r="F66" s="10">
        <f t="shared" si="0"/>
        <v>0.22</v>
      </c>
      <c r="G66">
        <v>19</v>
      </c>
      <c r="H66">
        <v>41</v>
      </c>
    </row>
    <row r="67" spans="1:8" x14ac:dyDescent="0.3">
      <c r="A67" t="s">
        <v>91</v>
      </c>
      <c r="B67">
        <v>30383</v>
      </c>
      <c r="C67">
        <v>15094</v>
      </c>
      <c r="D67">
        <v>17</v>
      </c>
      <c r="E67" s="1">
        <v>0.23</v>
      </c>
      <c r="F67" s="10">
        <f t="shared" ref="F67:F130" si="1">IF(E67&gt;1, E67/100, E67)</f>
        <v>0.23</v>
      </c>
      <c r="G67">
        <v>14</v>
      </c>
      <c r="H67">
        <v>28</v>
      </c>
    </row>
    <row r="68" spans="1:8" x14ac:dyDescent="0.3">
      <c r="A68" t="s">
        <v>92</v>
      </c>
      <c r="B68">
        <v>9858</v>
      </c>
      <c r="C68">
        <v>3881</v>
      </c>
      <c r="D68">
        <v>1</v>
      </c>
      <c r="E68" s="1">
        <v>9</v>
      </c>
      <c r="F68" s="10">
        <f t="shared" si="1"/>
        <v>0.09</v>
      </c>
      <c r="G68">
        <v>19</v>
      </c>
      <c r="H68">
        <v>63</v>
      </c>
    </row>
    <row r="69" spans="1:8" x14ac:dyDescent="0.3">
      <c r="A69" t="s">
        <v>94</v>
      </c>
      <c r="B69">
        <v>48100</v>
      </c>
      <c r="C69">
        <v>27774</v>
      </c>
      <c r="D69">
        <v>17</v>
      </c>
      <c r="E69" s="1">
        <v>0.02</v>
      </c>
      <c r="F69" s="10">
        <f t="shared" si="1"/>
        <v>0.02</v>
      </c>
      <c r="G69">
        <v>7</v>
      </c>
      <c r="H69">
        <v>44</v>
      </c>
    </row>
    <row r="70" spans="1:8" x14ac:dyDescent="0.3">
      <c r="A70" t="s">
        <v>95</v>
      </c>
      <c r="B70">
        <v>21859</v>
      </c>
      <c r="C70">
        <v>19192</v>
      </c>
      <c r="D70">
        <v>1</v>
      </c>
      <c r="E70" s="1">
        <v>0.19</v>
      </c>
      <c r="F70" s="10">
        <f t="shared" si="1"/>
        <v>0.19</v>
      </c>
      <c r="G70">
        <v>13</v>
      </c>
      <c r="H70">
        <v>6</v>
      </c>
    </row>
    <row r="71" spans="1:8" x14ac:dyDescent="0.3">
      <c r="A71" t="s">
        <v>96</v>
      </c>
      <c r="B71">
        <v>45655</v>
      </c>
      <c r="C71">
        <v>25708</v>
      </c>
      <c r="D71">
        <v>26</v>
      </c>
      <c r="E71" s="1">
        <v>0.17</v>
      </c>
      <c r="F71" s="10">
        <f t="shared" si="1"/>
        <v>0.17</v>
      </c>
      <c r="G71">
        <v>13</v>
      </c>
      <c r="H71">
        <v>21</v>
      </c>
    </row>
    <row r="72" spans="1:8" x14ac:dyDescent="0.3">
      <c r="A72" t="s">
        <v>97</v>
      </c>
      <c r="B72">
        <v>27500</v>
      </c>
      <c r="C72">
        <v>14556</v>
      </c>
      <c r="D72">
        <v>7</v>
      </c>
      <c r="E72" s="1">
        <v>7.0000000000000007E-2</v>
      </c>
      <c r="F72" s="10">
        <f t="shared" si="1"/>
        <v>7.0000000000000007E-2</v>
      </c>
      <c r="G72">
        <v>20</v>
      </c>
      <c r="H72">
        <v>35</v>
      </c>
    </row>
    <row r="73" spans="1:8" x14ac:dyDescent="0.3">
      <c r="A73" t="s">
        <v>98</v>
      </c>
      <c r="B73">
        <v>14245</v>
      </c>
      <c r="C73">
        <v>5635</v>
      </c>
      <c r="D73">
        <v>22</v>
      </c>
      <c r="E73" s="1">
        <v>0.25</v>
      </c>
      <c r="F73" s="10">
        <f t="shared" si="1"/>
        <v>0.25</v>
      </c>
      <c r="G73">
        <v>19</v>
      </c>
      <c r="H73">
        <v>19</v>
      </c>
    </row>
    <row r="74" spans="1:8" x14ac:dyDescent="0.3">
      <c r="A74" t="s">
        <v>99</v>
      </c>
      <c r="B74">
        <v>25665</v>
      </c>
      <c r="C74">
        <v>9918</v>
      </c>
      <c r="D74">
        <v>30</v>
      </c>
      <c r="E74" s="1">
        <v>4</v>
      </c>
      <c r="F74" s="10">
        <f t="shared" si="1"/>
        <v>0.04</v>
      </c>
      <c r="G74">
        <v>11</v>
      </c>
      <c r="H74">
        <v>37</v>
      </c>
    </row>
    <row r="75" spans="1:8" x14ac:dyDescent="0.3">
      <c r="A75" t="s">
        <v>101</v>
      </c>
      <c r="B75">
        <v>14069</v>
      </c>
      <c r="C75">
        <v>13970</v>
      </c>
      <c r="D75">
        <v>26</v>
      </c>
      <c r="E75" s="1">
        <v>20</v>
      </c>
      <c r="F75" s="10">
        <f t="shared" si="1"/>
        <v>0.2</v>
      </c>
      <c r="G75">
        <v>11</v>
      </c>
      <c r="H75">
        <v>20</v>
      </c>
    </row>
    <row r="76" spans="1:8" x14ac:dyDescent="0.3">
      <c r="A76" t="s">
        <v>102</v>
      </c>
      <c r="B76">
        <v>49591</v>
      </c>
      <c r="C76" t="s">
        <v>46</v>
      </c>
      <c r="D76">
        <v>26</v>
      </c>
      <c r="E76" s="1">
        <v>0.15</v>
      </c>
      <c r="F76" s="10">
        <f t="shared" si="1"/>
        <v>0.15</v>
      </c>
      <c r="G76">
        <v>0</v>
      </c>
      <c r="H76">
        <v>51</v>
      </c>
    </row>
    <row r="77" spans="1:8" x14ac:dyDescent="0.3">
      <c r="A77" t="s">
        <v>103</v>
      </c>
      <c r="B77">
        <v>27050</v>
      </c>
      <c r="C77">
        <v>17324</v>
      </c>
      <c r="D77">
        <v>19</v>
      </c>
      <c r="E77" s="1">
        <v>24</v>
      </c>
      <c r="F77" s="10">
        <f t="shared" si="1"/>
        <v>0.24</v>
      </c>
      <c r="G77">
        <v>4</v>
      </c>
      <c r="H77">
        <v>63</v>
      </c>
    </row>
    <row r="78" spans="1:8" x14ac:dyDescent="0.3">
      <c r="A78" t="s">
        <v>104</v>
      </c>
      <c r="B78">
        <v>38503</v>
      </c>
      <c r="C78">
        <v>8289</v>
      </c>
      <c r="D78">
        <v>24</v>
      </c>
      <c r="E78" s="1">
        <v>4</v>
      </c>
      <c r="F78" s="10">
        <f t="shared" si="1"/>
        <v>0.04</v>
      </c>
      <c r="G78">
        <v>4</v>
      </c>
      <c r="H78">
        <v>51</v>
      </c>
    </row>
    <row r="79" spans="1:8" x14ac:dyDescent="0.3">
      <c r="A79" t="s">
        <v>105</v>
      </c>
      <c r="B79">
        <v>44146</v>
      </c>
      <c r="C79">
        <v>2149</v>
      </c>
      <c r="D79">
        <v>26</v>
      </c>
      <c r="E79" s="1">
        <v>1</v>
      </c>
      <c r="F79" s="10">
        <f t="shared" si="1"/>
        <v>1</v>
      </c>
      <c r="G79">
        <v>15</v>
      </c>
      <c r="H79">
        <v>29</v>
      </c>
    </row>
    <row r="80" spans="1:8" x14ac:dyDescent="0.3">
      <c r="A80" t="s">
        <v>107</v>
      </c>
      <c r="B80">
        <v>12841</v>
      </c>
      <c r="C80">
        <v>10690</v>
      </c>
      <c r="D80">
        <v>26</v>
      </c>
      <c r="E80" s="1">
        <v>0.28000000000000003</v>
      </c>
      <c r="F80" s="10">
        <f t="shared" si="1"/>
        <v>0.28000000000000003</v>
      </c>
      <c r="G80">
        <v>5</v>
      </c>
      <c r="H80">
        <v>64</v>
      </c>
    </row>
    <row r="81" spans="1:8" x14ac:dyDescent="0.3">
      <c r="A81" t="s">
        <v>108</v>
      </c>
      <c r="B81">
        <v>36268</v>
      </c>
      <c r="C81">
        <v>20247</v>
      </c>
      <c r="D81">
        <v>13</v>
      </c>
      <c r="E81" s="1">
        <v>25</v>
      </c>
      <c r="F81" s="10">
        <f t="shared" si="1"/>
        <v>0.25</v>
      </c>
      <c r="G81">
        <v>18</v>
      </c>
      <c r="H81">
        <v>62</v>
      </c>
    </row>
    <row r="82" spans="1:8" x14ac:dyDescent="0.3">
      <c r="A82" t="s">
        <v>109</v>
      </c>
      <c r="B82">
        <v>48747</v>
      </c>
      <c r="C82">
        <v>25835</v>
      </c>
      <c r="D82">
        <v>27</v>
      </c>
      <c r="E82" s="1">
        <v>0.01</v>
      </c>
      <c r="F82" s="10">
        <f t="shared" si="1"/>
        <v>0.01</v>
      </c>
      <c r="G82">
        <v>14</v>
      </c>
      <c r="H82">
        <v>49</v>
      </c>
    </row>
    <row r="83" spans="1:8" x14ac:dyDescent="0.3">
      <c r="A83" t="s">
        <v>110</v>
      </c>
      <c r="B83">
        <v>33525</v>
      </c>
      <c r="C83" t="s">
        <v>46</v>
      </c>
      <c r="D83">
        <v>28</v>
      </c>
      <c r="E83" s="1">
        <v>0.26</v>
      </c>
      <c r="F83" s="10">
        <f t="shared" si="1"/>
        <v>0.26</v>
      </c>
      <c r="G83">
        <v>7</v>
      </c>
      <c r="H83">
        <v>55</v>
      </c>
    </row>
    <row r="84" spans="1:8" x14ac:dyDescent="0.3">
      <c r="A84" t="s">
        <v>111</v>
      </c>
      <c r="B84">
        <v>7129</v>
      </c>
      <c r="C84" t="s">
        <v>46</v>
      </c>
      <c r="D84">
        <v>14</v>
      </c>
      <c r="E84" s="1">
        <v>0.11</v>
      </c>
      <c r="F84" s="10">
        <f t="shared" si="1"/>
        <v>0.11</v>
      </c>
      <c r="G84">
        <v>15</v>
      </c>
      <c r="H84">
        <v>59</v>
      </c>
    </row>
    <row r="85" spans="1:8" x14ac:dyDescent="0.3">
      <c r="A85" t="s">
        <v>112</v>
      </c>
      <c r="B85">
        <v>19255</v>
      </c>
      <c r="C85">
        <v>25596</v>
      </c>
      <c r="D85">
        <v>19</v>
      </c>
      <c r="E85" s="1">
        <v>0.17</v>
      </c>
      <c r="F85" s="10">
        <f t="shared" si="1"/>
        <v>0.17</v>
      </c>
      <c r="G85">
        <v>8</v>
      </c>
      <c r="H85">
        <v>66</v>
      </c>
    </row>
    <row r="86" spans="1:8" x14ac:dyDescent="0.3">
      <c r="A86" t="s">
        <v>113</v>
      </c>
      <c r="B86">
        <v>33750</v>
      </c>
      <c r="C86">
        <v>16340</v>
      </c>
      <c r="D86">
        <v>6</v>
      </c>
      <c r="E86" s="1">
        <v>6</v>
      </c>
      <c r="F86" s="10">
        <f t="shared" si="1"/>
        <v>0.06</v>
      </c>
      <c r="G86">
        <v>9</v>
      </c>
      <c r="H86">
        <v>57</v>
      </c>
    </row>
    <row r="87" spans="1:8" x14ac:dyDescent="0.3">
      <c r="A87" t="s">
        <v>114</v>
      </c>
      <c r="B87">
        <v>8672</v>
      </c>
      <c r="C87">
        <v>18165</v>
      </c>
      <c r="D87">
        <v>13</v>
      </c>
      <c r="E87" s="1">
        <v>24</v>
      </c>
      <c r="F87" s="10">
        <f t="shared" si="1"/>
        <v>0.24</v>
      </c>
      <c r="G87">
        <v>5</v>
      </c>
      <c r="H87">
        <v>34</v>
      </c>
    </row>
    <row r="88" spans="1:8" x14ac:dyDescent="0.3">
      <c r="A88" t="s">
        <v>115</v>
      </c>
      <c r="B88">
        <v>5043</v>
      </c>
      <c r="C88">
        <v>16827</v>
      </c>
      <c r="D88">
        <v>11</v>
      </c>
      <c r="E88" s="1">
        <v>0.26</v>
      </c>
      <c r="F88" s="10">
        <f t="shared" si="1"/>
        <v>0.26</v>
      </c>
      <c r="G88">
        <v>1</v>
      </c>
      <c r="H88">
        <v>45</v>
      </c>
    </row>
    <row r="89" spans="1:8" x14ac:dyDescent="0.3">
      <c r="A89" t="s">
        <v>116</v>
      </c>
      <c r="B89">
        <v>28951</v>
      </c>
      <c r="C89">
        <v>25720</v>
      </c>
      <c r="D89">
        <v>13</v>
      </c>
      <c r="E89" s="1">
        <v>30</v>
      </c>
      <c r="F89" s="10">
        <f t="shared" si="1"/>
        <v>0.3</v>
      </c>
      <c r="G89">
        <v>7</v>
      </c>
      <c r="H89">
        <v>62</v>
      </c>
    </row>
    <row r="90" spans="1:8" x14ac:dyDescent="0.3">
      <c r="A90" t="s">
        <v>117</v>
      </c>
      <c r="B90">
        <v>41194</v>
      </c>
      <c r="C90">
        <v>16792</v>
      </c>
      <c r="D90">
        <v>5</v>
      </c>
      <c r="E90" s="1">
        <v>4</v>
      </c>
      <c r="F90" s="10">
        <f t="shared" si="1"/>
        <v>0.04</v>
      </c>
      <c r="G90">
        <v>14</v>
      </c>
      <c r="H90">
        <v>59</v>
      </c>
    </row>
    <row r="91" spans="1:8" x14ac:dyDescent="0.3">
      <c r="A91" t="s">
        <v>118</v>
      </c>
      <c r="B91">
        <v>26014</v>
      </c>
      <c r="C91">
        <v>12282</v>
      </c>
      <c r="D91">
        <v>5</v>
      </c>
      <c r="E91" s="1">
        <v>0.08</v>
      </c>
      <c r="F91" s="10">
        <f t="shared" si="1"/>
        <v>0.08</v>
      </c>
      <c r="G91">
        <v>11</v>
      </c>
      <c r="H91">
        <v>12</v>
      </c>
    </row>
    <row r="92" spans="1:8" x14ac:dyDescent="0.3">
      <c r="A92" t="s">
        <v>119</v>
      </c>
      <c r="B92">
        <v>49511</v>
      </c>
      <c r="C92">
        <v>3763</v>
      </c>
      <c r="D92">
        <v>30</v>
      </c>
      <c r="E92" s="1">
        <v>2</v>
      </c>
      <c r="F92" s="10">
        <f t="shared" si="1"/>
        <v>0.02</v>
      </c>
      <c r="G92">
        <v>7</v>
      </c>
      <c r="H92">
        <v>64</v>
      </c>
    </row>
    <row r="93" spans="1:8" x14ac:dyDescent="0.3">
      <c r="A93" t="s">
        <v>121</v>
      </c>
      <c r="B93">
        <v>26646</v>
      </c>
      <c r="C93">
        <v>6661</v>
      </c>
      <c r="D93">
        <v>26</v>
      </c>
      <c r="E93" s="1">
        <v>0.17</v>
      </c>
      <c r="F93" s="10">
        <f t="shared" si="1"/>
        <v>0.17</v>
      </c>
      <c r="G93">
        <v>8</v>
      </c>
      <c r="H93">
        <v>22</v>
      </c>
    </row>
    <row r="94" spans="1:8" x14ac:dyDescent="0.3">
      <c r="A94" t="s">
        <v>122</v>
      </c>
      <c r="B94">
        <v>39234</v>
      </c>
      <c r="C94">
        <v>11465</v>
      </c>
      <c r="D94">
        <v>5</v>
      </c>
      <c r="E94" s="1">
        <v>16</v>
      </c>
      <c r="F94" s="10">
        <f t="shared" si="1"/>
        <v>0.16</v>
      </c>
      <c r="G94">
        <v>15</v>
      </c>
      <c r="H94">
        <v>41</v>
      </c>
    </row>
    <row r="95" spans="1:8" x14ac:dyDescent="0.3">
      <c r="A95" t="s">
        <v>124</v>
      </c>
      <c r="B95">
        <v>7533</v>
      </c>
      <c r="C95">
        <v>26705</v>
      </c>
      <c r="D95">
        <v>4</v>
      </c>
      <c r="E95" s="1">
        <v>0.09</v>
      </c>
      <c r="F95" s="10">
        <f t="shared" si="1"/>
        <v>0.09</v>
      </c>
      <c r="G95">
        <v>11</v>
      </c>
      <c r="H95">
        <v>13</v>
      </c>
    </row>
    <row r="96" spans="1:8" x14ac:dyDescent="0.3">
      <c r="A96" t="s">
        <v>125</v>
      </c>
      <c r="B96">
        <v>31527</v>
      </c>
      <c r="C96">
        <v>6038</v>
      </c>
      <c r="D96">
        <v>18</v>
      </c>
      <c r="E96" s="1">
        <v>0.1</v>
      </c>
      <c r="F96" s="10">
        <f t="shared" si="1"/>
        <v>0.1</v>
      </c>
      <c r="G96">
        <v>12</v>
      </c>
      <c r="H96">
        <v>1</v>
      </c>
    </row>
    <row r="97" spans="1:8" x14ac:dyDescent="0.3">
      <c r="A97" t="s">
        <v>126</v>
      </c>
      <c r="B97">
        <v>31344</v>
      </c>
      <c r="C97">
        <v>18965</v>
      </c>
      <c r="D97">
        <v>30</v>
      </c>
      <c r="E97" s="1">
        <v>14</v>
      </c>
      <c r="F97" s="10">
        <f t="shared" si="1"/>
        <v>0.14000000000000001</v>
      </c>
      <c r="G97">
        <v>6</v>
      </c>
      <c r="H97">
        <v>45</v>
      </c>
    </row>
    <row r="98" spans="1:8" x14ac:dyDescent="0.3">
      <c r="A98" t="s">
        <v>128</v>
      </c>
      <c r="B98">
        <v>24525</v>
      </c>
      <c r="C98">
        <v>9483</v>
      </c>
      <c r="D98">
        <v>23</v>
      </c>
      <c r="E98" s="1">
        <v>27</v>
      </c>
      <c r="F98" s="10">
        <f t="shared" si="1"/>
        <v>0.27</v>
      </c>
      <c r="G98">
        <v>11</v>
      </c>
      <c r="H98">
        <v>53</v>
      </c>
    </row>
    <row r="99" spans="1:8" x14ac:dyDescent="0.3">
      <c r="A99" t="s">
        <v>130</v>
      </c>
      <c r="B99">
        <v>37554</v>
      </c>
      <c r="C99">
        <v>22882</v>
      </c>
      <c r="D99">
        <v>20</v>
      </c>
      <c r="E99" s="1">
        <v>20</v>
      </c>
      <c r="F99" s="10">
        <f t="shared" si="1"/>
        <v>0.2</v>
      </c>
      <c r="G99">
        <v>7</v>
      </c>
      <c r="H99">
        <v>10</v>
      </c>
    </row>
    <row r="100" spans="1:8" x14ac:dyDescent="0.3">
      <c r="A100" t="s">
        <v>131</v>
      </c>
      <c r="B100">
        <v>40217</v>
      </c>
      <c r="C100">
        <v>26218</v>
      </c>
      <c r="D100">
        <v>11</v>
      </c>
      <c r="E100" s="1">
        <v>0.15</v>
      </c>
      <c r="F100" s="10">
        <f t="shared" si="1"/>
        <v>0.15</v>
      </c>
      <c r="G100">
        <v>5</v>
      </c>
      <c r="H100">
        <v>56</v>
      </c>
    </row>
    <row r="101" spans="1:8" x14ac:dyDescent="0.3">
      <c r="A101" t="s">
        <v>132</v>
      </c>
      <c r="B101">
        <v>37270</v>
      </c>
      <c r="C101">
        <v>13913</v>
      </c>
      <c r="D101">
        <v>23</v>
      </c>
      <c r="E101" s="1">
        <v>0.27</v>
      </c>
      <c r="F101" s="10">
        <f t="shared" si="1"/>
        <v>0.27</v>
      </c>
      <c r="G101">
        <v>1</v>
      </c>
      <c r="H101">
        <v>33</v>
      </c>
    </row>
    <row r="102" spans="1:8" x14ac:dyDescent="0.3">
      <c r="A102" t="s">
        <v>133</v>
      </c>
      <c r="B102">
        <v>46174</v>
      </c>
      <c r="C102">
        <v>27091</v>
      </c>
      <c r="D102">
        <v>12</v>
      </c>
      <c r="E102" s="1">
        <v>0.28000000000000003</v>
      </c>
      <c r="F102" s="10">
        <f t="shared" si="1"/>
        <v>0.28000000000000003</v>
      </c>
      <c r="G102">
        <v>19</v>
      </c>
      <c r="H102">
        <v>10</v>
      </c>
    </row>
    <row r="103" spans="1:8" x14ac:dyDescent="0.3">
      <c r="A103" t="s">
        <v>134</v>
      </c>
      <c r="B103">
        <v>5519</v>
      </c>
      <c r="C103">
        <v>10843</v>
      </c>
      <c r="D103">
        <v>23</v>
      </c>
      <c r="E103" s="1">
        <v>17</v>
      </c>
      <c r="F103" s="10">
        <f t="shared" si="1"/>
        <v>0.17</v>
      </c>
      <c r="G103">
        <v>16</v>
      </c>
      <c r="H103">
        <v>11</v>
      </c>
    </row>
    <row r="104" spans="1:8" x14ac:dyDescent="0.3">
      <c r="A104" t="s">
        <v>135</v>
      </c>
      <c r="B104">
        <v>41152</v>
      </c>
      <c r="C104">
        <v>28530</v>
      </c>
      <c r="D104">
        <v>6</v>
      </c>
      <c r="E104" s="1">
        <v>27</v>
      </c>
      <c r="F104" s="10">
        <f t="shared" si="1"/>
        <v>0.27</v>
      </c>
      <c r="G104">
        <v>12</v>
      </c>
      <c r="H104">
        <v>5</v>
      </c>
    </row>
    <row r="105" spans="1:8" x14ac:dyDescent="0.3">
      <c r="A105" t="s">
        <v>136</v>
      </c>
      <c r="B105">
        <v>13354</v>
      </c>
      <c r="C105">
        <v>5164</v>
      </c>
      <c r="D105">
        <v>29</v>
      </c>
      <c r="E105" s="1">
        <v>0.16</v>
      </c>
      <c r="F105" s="10">
        <f t="shared" si="1"/>
        <v>0.16</v>
      </c>
      <c r="G105">
        <v>0</v>
      </c>
      <c r="H105">
        <v>65</v>
      </c>
    </row>
    <row r="106" spans="1:8" x14ac:dyDescent="0.3">
      <c r="A106" t="s">
        <v>137</v>
      </c>
      <c r="B106">
        <v>34921</v>
      </c>
      <c r="C106">
        <v>12026</v>
      </c>
      <c r="D106">
        <v>29</v>
      </c>
      <c r="E106" s="1">
        <v>2</v>
      </c>
      <c r="F106" s="10">
        <f t="shared" si="1"/>
        <v>0.02</v>
      </c>
      <c r="G106">
        <v>10</v>
      </c>
      <c r="H106">
        <v>9</v>
      </c>
    </row>
    <row r="107" spans="1:8" x14ac:dyDescent="0.3">
      <c r="A107" t="s">
        <v>138</v>
      </c>
      <c r="B107">
        <v>45929</v>
      </c>
      <c r="C107">
        <v>19724</v>
      </c>
      <c r="D107">
        <v>18</v>
      </c>
      <c r="E107" s="1">
        <v>0.08</v>
      </c>
      <c r="F107" s="10">
        <f t="shared" si="1"/>
        <v>0.08</v>
      </c>
      <c r="G107">
        <v>16</v>
      </c>
      <c r="H107">
        <v>65</v>
      </c>
    </row>
    <row r="108" spans="1:8" x14ac:dyDescent="0.3">
      <c r="A108" t="s">
        <v>139</v>
      </c>
      <c r="B108">
        <v>11812</v>
      </c>
      <c r="C108" t="s">
        <v>46</v>
      </c>
      <c r="D108">
        <v>24</v>
      </c>
      <c r="E108" s="1">
        <v>25</v>
      </c>
      <c r="F108" s="10">
        <f t="shared" si="1"/>
        <v>0.25</v>
      </c>
      <c r="G108">
        <v>8</v>
      </c>
      <c r="H108">
        <v>19</v>
      </c>
    </row>
    <row r="109" spans="1:8" x14ac:dyDescent="0.3">
      <c r="A109" t="s">
        <v>140</v>
      </c>
      <c r="B109">
        <v>28729</v>
      </c>
      <c r="C109">
        <v>18231</v>
      </c>
      <c r="D109">
        <v>24</v>
      </c>
      <c r="E109" s="1">
        <v>26</v>
      </c>
      <c r="F109" s="10">
        <f t="shared" si="1"/>
        <v>0.26</v>
      </c>
      <c r="G109">
        <v>3</v>
      </c>
      <c r="H109">
        <v>9</v>
      </c>
    </row>
    <row r="110" spans="1:8" x14ac:dyDescent="0.3">
      <c r="A110" t="s">
        <v>142</v>
      </c>
      <c r="B110">
        <v>10721</v>
      </c>
      <c r="C110">
        <v>10898</v>
      </c>
      <c r="D110">
        <v>23</v>
      </c>
      <c r="E110" s="1">
        <v>0.27</v>
      </c>
      <c r="F110" s="10">
        <f t="shared" si="1"/>
        <v>0.27</v>
      </c>
      <c r="G110">
        <v>17</v>
      </c>
      <c r="H110">
        <v>37</v>
      </c>
    </row>
    <row r="111" spans="1:8" x14ac:dyDescent="0.3">
      <c r="A111" t="s">
        <v>143</v>
      </c>
      <c r="B111">
        <v>15546</v>
      </c>
      <c r="C111">
        <v>29127</v>
      </c>
      <c r="D111">
        <v>8</v>
      </c>
      <c r="E111" s="1">
        <v>20</v>
      </c>
      <c r="F111" s="10">
        <f t="shared" si="1"/>
        <v>0.2</v>
      </c>
      <c r="G111">
        <v>18</v>
      </c>
      <c r="H111">
        <v>51</v>
      </c>
    </row>
    <row r="112" spans="1:8" x14ac:dyDescent="0.3">
      <c r="A112" t="s">
        <v>144</v>
      </c>
      <c r="B112">
        <v>32110</v>
      </c>
      <c r="C112">
        <v>3175</v>
      </c>
      <c r="D112">
        <v>28</v>
      </c>
      <c r="E112" s="1">
        <v>28</v>
      </c>
      <c r="F112" s="10">
        <f t="shared" si="1"/>
        <v>0.28000000000000003</v>
      </c>
      <c r="G112">
        <v>9</v>
      </c>
      <c r="H112">
        <v>54</v>
      </c>
    </row>
    <row r="113" spans="1:8" x14ac:dyDescent="0.3">
      <c r="A113" t="s">
        <v>145</v>
      </c>
      <c r="B113">
        <v>14838</v>
      </c>
      <c r="C113">
        <v>10895</v>
      </c>
      <c r="D113">
        <v>17</v>
      </c>
      <c r="E113" s="1">
        <v>30</v>
      </c>
      <c r="F113" s="10">
        <f t="shared" si="1"/>
        <v>0.3</v>
      </c>
      <c r="G113">
        <v>7</v>
      </c>
      <c r="H113">
        <v>66</v>
      </c>
    </row>
    <row r="114" spans="1:8" x14ac:dyDescent="0.3">
      <c r="A114" t="s">
        <v>146</v>
      </c>
      <c r="B114">
        <v>49218</v>
      </c>
      <c r="C114">
        <v>20666</v>
      </c>
      <c r="D114">
        <v>18</v>
      </c>
      <c r="E114" s="1">
        <v>11</v>
      </c>
      <c r="F114" s="10">
        <f t="shared" si="1"/>
        <v>0.11</v>
      </c>
      <c r="G114">
        <v>2</v>
      </c>
      <c r="H114">
        <v>16</v>
      </c>
    </row>
    <row r="115" spans="1:8" x14ac:dyDescent="0.3">
      <c r="A115" t="s">
        <v>148</v>
      </c>
      <c r="B115">
        <v>39243</v>
      </c>
      <c r="C115">
        <v>23117</v>
      </c>
      <c r="D115">
        <v>27</v>
      </c>
      <c r="E115" s="1">
        <v>5</v>
      </c>
      <c r="F115" s="10">
        <f t="shared" si="1"/>
        <v>0.05</v>
      </c>
      <c r="G115">
        <v>18</v>
      </c>
      <c r="H115">
        <v>51</v>
      </c>
    </row>
    <row r="116" spans="1:8" x14ac:dyDescent="0.3">
      <c r="A116" t="s">
        <v>150</v>
      </c>
      <c r="B116">
        <v>38920</v>
      </c>
      <c r="C116">
        <v>15777</v>
      </c>
      <c r="D116">
        <v>22</v>
      </c>
      <c r="E116" s="1">
        <v>0.22</v>
      </c>
      <c r="F116" s="10">
        <f t="shared" si="1"/>
        <v>0.22</v>
      </c>
      <c r="G116">
        <v>5</v>
      </c>
      <c r="H116">
        <v>52</v>
      </c>
    </row>
    <row r="117" spans="1:8" x14ac:dyDescent="0.3">
      <c r="A117" t="s">
        <v>151</v>
      </c>
      <c r="B117">
        <v>24201</v>
      </c>
      <c r="C117">
        <v>22690</v>
      </c>
      <c r="D117">
        <v>9</v>
      </c>
      <c r="E117" s="1">
        <v>0.1</v>
      </c>
      <c r="F117" s="10">
        <f t="shared" si="1"/>
        <v>0.1</v>
      </c>
      <c r="G117">
        <v>2</v>
      </c>
      <c r="H117">
        <v>64</v>
      </c>
    </row>
    <row r="118" spans="1:8" x14ac:dyDescent="0.3">
      <c r="A118" t="s">
        <v>152</v>
      </c>
      <c r="B118">
        <v>43400</v>
      </c>
      <c r="C118" t="s">
        <v>46</v>
      </c>
      <c r="D118">
        <v>17</v>
      </c>
      <c r="E118" s="1">
        <v>21</v>
      </c>
      <c r="F118" s="10">
        <f t="shared" si="1"/>
        <v>0.21</v>
      </c>
      <c r="G118">
        <v>18</v>
      </c>
      <c r="H118">
        <v>71</v>
      </c>
    </row>
    <row r="119" spans="1:8" x14ac:dyDescent="0.3">
      <c r="A119" t="s">
        <v>153</v>
      </c>
      <c r="B119">
        <v>1980</v>
      </c>
      <c r="C119">
        <v>12365</v>
      </c>
      <c r="D119">
        <v>23</v>
      </c>
      <c r="E119" s="1">
        <v>3</v>
      </c>
      <c r="F119" s="10">
        <f t="shared" si="1"/>
        <v>0.03</v>
      </c>
      <c r="G119">
        <v>20</v>
      </c>
      <c r="H119">
        <v>27</v>
      </c>
    </row>
    <row r="120" spans="1:8" x14ac:dyDescent="0.3">
      <c r="A120" t="s">
        <v>154</v>
      </c>
      <c r="B120">
        <v>5949</v>
      </c>
      <c r="C120">
        <v>10192</v>
      </c>
      <c r="D120">
        <v>29</v>
      </c>
      <c r="E120" s="1">
        <v>0.04</v>
      </c>
      <c r="F120" s="10">
        <f t="shared" si="1"/>
        <v>0.04</v>
      </c>
      <c r="G120">
        <v>13</v>
      </c>
      <c r="H120">
        <v>4</v>
      </c>
    </row>
    <row r="121" spans="1:8" x14ac:dyDescent="0.3">
      <c r="A121" t="s">
        <v>155</v>
      </c>
      <c r="B121">
        <v>7435</v>
      </c>
      <c r="C121">
        <v>7650</v>
      </c>
      <c r="D121">
        <v>16</v>
      </c>
      <c r="E121" s="1">
        <v>0.2</v>
      </c>
      <c r="F121" s="10">
        <f t="shared" si="1"/>
        <v>0.2</v>
      </c>
      <c r="G121">
        <v>4</v>
      </c>
      <c r="H121">
        <v>19</v>
      </c>
    </row>
    <row r="122" spans="1:8" x14ac:dyDescent="0.3">
      <c r="A122" t="s">
        <v>156</v>
      </c>
      <c r="B122">
        <v>33445</v>
      </c>
      <c r="C122">
        <v>29687</v>
      </c>
      <c r="D122">
        <v>7</v>
      </c>
      <c r="E122" s="1">
        <v>0.26</v>
      </c>
      <c r="F122" s="10">
        <f t="shared" si="1"/>
        <v>0.26</v>
      </c>
      <c r="G122">
        <v>18</v>
      </c>
      <c r="H122">
        <v>1</v>
      </c>
    </row>
    <row r="123" spans="1:8" x14ac:dyDescent="0.3">
      <c r="A123" t="s">
        <v>157</v>
      </c>
      <c r="B123">
        <v>38276</v>
      </c>
      <c r="C123">
        <v>24917</v>
      </c>
      <c r="D123">
        <v>3</v>
      </c>
      <c r="E123" s="1">
        <v>2</v>
      </c>
      <c r="F123" s="10">
        <f t="shared" si="1"/>
        <v>0.02</v>
      </c>
      <c r="G123">
        <v>9</v>
      </c>
      <c r="H123">
        <v>9</v>
      </c>
    </row>
    <row r="124" spans="1:8" x14ac:dyDescent="0.3">
      <c r="A124" t="s">
        <v>158</v>
      </c>
      <c r="B124">
        <v>16839</v>
      </c>
      <c r="C124">
        <v>11200</v>
      </c>
      <c r="D124">
        <v>19</v>
      </c>
      <c r="E124" s="1">
        <v>19</v>
      </c>
      <c r="F124" s="10">
        <f t="shared" si="1"/>
        <v>0.19</v>
      </c>
      <c r="G124">
        <v>17</v>
      </c>
      <c r="H124">
        <v>46</v>
      </c>
    </row>
    <row r="125" spans="1:8" x14ac:dyDescent="0.3">
      <c r="A125" t="s">
        <v>159</v>
      </c>
      <c r="B125">
        <v>47198</v>
      </c>
      <c r="C125">
        <v>29362</v>
      </c>
      <c r="D125">
        <v>7</v>
      </c>
      <c r="E125" s="1">
        <v>24</v>
      </c>
      <c r="F125" s="10">
        <f t="shared" si="1"/>
        <v>0.24</v>
      </c>
      <c r="G125">
        <v>16</v>
      </c>
      <c r="H125">
        <v>48</v>
      </c>
    </row>
    <row r="126" spans="1:8" x14ac:dyDescent="0.3">
      <c r="A126" t="s">
        <v>160</v>
      </c>
      <c r="B126">
        <v>32948</v>
      </c>
      <c r="C126" t="s">
        <v>46</v>
      </c>
      <c r="D126">
        <v>2</v>
      </c>
      <c r="E126" s="1">
        <v>0.2</v>
      </c>
      <c r="F126" s="10">
        <f t="shared" si="1"/>
        <v>0.2</v>
      </c>
      <c r="G126">
        <v>6</v>
      </c>
      <c r="H126">
        <v>69</v>
      </c>
    </row>
    <row r="127" spans="1:8" x14ac:dyDescent="0.3">
      <c r="A127" t="s">
        <v>161</v>
      </c>
      <c r="B127">
        <v>48524</v>
      </c>
      <c r="C127">
        <v>16959</v>
      </c>
      <c r="D127">
        <v>1</v>
      </c>
      <c r="E127" s="1">
        <v>0.26</v>
      </c>
      <c r="F127" s="10">
        <f t="shared" si="1"/>
        <v>0.26</v>
      </c>
      <c r="G127">
        <v>20</v>
      </c>
      <c r="H127">
        <v>59</v>
      </c>
    </row>
    <row r="128" spans="1:8" x14ac:dyDescent="0.3">
      <c r="A128" t="s">
        <v>162</v>
      </c>
      <c r="B128">
        <v>7497</v>
      </c>
      <c r="C128">
        <v>638</v>
      </c>
      <c r="D128">
        <v>28</v>
      </c>
      <c r="E128" s="1">
        <v>21</v>
      </c>
      <c r="F128" s="10">
        <f t="shared" si="1"/>
        <v>0.21</v>
      </c>
      <c r="G128">
        <v>2</v>
      </c>
      <c r="H128">
        <v>52</v>
      </c>
    </row>
    <row r="129" spans="1:8" x14ac:dyDescent="0.3">
      <c r="A129" t="s">
        <v>163</v>
      </c>
      <c r="B129">
        <v>23679</v>
      </c>
      <c r="C129" t="s">
        <v>46</v>
      </c>
      <c r="D129">
        <v>8</v>
      </c>
      <c r="E129" s="1">
        <v>21</v>
      </c>
      <c r="F129" s="10">
        <f t="shared" si="1"/>
        <v>0.21</v>
      </c>
      <c r="G129">
        <v>0</v>
      </c>
      <c r="H129">
        <v>20</v>
      </c>
    </row>
    <row r="130" spans="1:8" x14ac:dyDescent="0.3">
      <c r="A130" t="s">
        <v>164</v>
      </c>
      <c r="B130">
        <v>41075</v>
      </c>
      <c r="C130">
        <v>21795</v>
      </c>
      <c r="D130">
        <v>9</v>
      </c>
      <c r="E130" s="1">
        <v>0.17</v>
      </c>
      <c r="F130" s="10">
        <f t="shared" si="1"/>
        <v>0.17</v>
      </c>
      <c r="G130">
        <v>11</v>
      </c>
      <c r="H130">
        <v>65</v>
      </c>
    </row>
    <row r="131" spans="1:8" x14ac:dyDescent="0.3">
      <c r="A131" t="s">
        <v>165</v>
      </c>
      <c r="B131">
        <v>34064</v>
      </c>
      <c r="C131">
        <v>28932</v>
      </c>
      <c r="D131">
        <v>10</v>
      </c>
      <c r="E131" s="1">
        <v>29</v>
      </c>
      <c r="F131" s="10">
        <f t="shared" ref="F131:F194" si="2">IF(E131&gt;1, E131/100, E131)</f>
        <v>0.28999999999999998</v>
      </c>
      <c r="G131">
        <v>16</v>
      </c>
      <c r="H131">
        <v>40</v>
      </c>
    </row>
    <row r="132" spans="1:8" x14ac:dyDescent="0.3">
      <c r="A132" t="s">
        <v>167</v>
      </c>
      <c r="B132">
        <v>9293</v>
      </c>
      <c r="C132">
        <v>4215</v>
      </c>
      <c r="D132">
        <v>28</v>
      </c>
      <c r="E132" s="1">
        <v>0.24</v>
      </c>
      <c r="F132" s="10">
        <f t="shared" si="2"/>
        <v>0.24</v>
      </c>
      <c r="G132">
        <v>7</v>
      </c>
      <c r="H132">
        <v>20</v>
      </c>
    </row>
    <row r="133" spans="1:8" x14ac:dyDescent="0.3">
      <c r="A133" t="s">
        <v>168</v>
      </c>
      <c r="B133">
        <v>15078</v>
      </c>
      <c r="C133">
        <v>10338</v>
      </c>
      <c r="D133">
        <v>3</v>
      </c>
      <c r="E133" s="1">
        <v>0.05</v>
      </c>
      <c r="F133" s="10">
        <f t="shared" si="2"/>
        <v>0.05</v>
      </c>
      <c r="G133">
        <v>6</v>
      </c>
      <c r="H133">
        <v>30</v>
      </c>
    </row>
    <row r="134" spans="1:8" x14ac:dyDescent="0.3">
      <c r="A134" t="s">
        <v>169</v>
      </c>
      <c r="B134">
        <v>20076</v>
      </c>
      <c r="C134" t="s">
        <v>46</v>
      </c>
      <c r="D134">
        <v>6</v>
      </c>
      <c r="E134" s="1">
        <v>0.28000000000000003</v>
      </c>
      <c r="F134" s="10">
        <f t="shared" si="2"/>
        <v>0.28000000000000003</v>
      </c>
      <c r="G134">
        <v>16</v>
      </c>
      <c r="H134">
        <v>72</v>
      </c>
    </row>
    <row r="135" spans="1:8" x14ac:dyDescent="0.3">
      <c r="A135" t="s">
        <v>170</v>
      </c>
      <c r="B135">
        <v>16853</v>
      </c>
      <c r="C135">
        <v>12995</v>
      </c>
      <c r="D135">
        <v>22</v>
      </c>
      <c r="E135" s="1">
        <v>24</v>
      </c>
      <c r="F135" s="10">
        <f t="shared" si="2"/>
        <v>0.24</v>
      </c>
      <c r="G135">
        <v>7</v>
      </c>
      <c r="H135">
        <v>43</v>
      </c>
    </row>
    <row r="136" spans="1:8" x14ac:dyDescent="0.3">
      <c r="A136" t="s">
        <v>171</v>
      </c>
      <c r="B136">
        <v>36002</v>
      </c>
      <c r="C136">
        <v>13974</v>
      </c>
      <c r="D136">
        <v>6</v>
      </c>
      <c r="E136" s="1">
        <v>11</v>
      </c>
      <c r="F136" s="10">
        <f t="shared" si="2"/>
        <v>0.11</v>
      </c>
      <c r="G136">
        <v>3</v>
      </c>
      <c r="H136">
        <v>16</v>
      </c>
    </row>
    <row r="137" spans="1:8" x14ac:dyDescent="0.3">
      <c r="A137" t="s">
        <v>172</v>
      </c>
      <c r="B137">
        <v>1432</v>
      </c>
      <c r="C137">
        <v>29495</v>
      </c>
      <c r="D137">
        <v>30</v>
      </c>
      <c r="E137" s="1">
        <v>25</v>
      </c>
      <c r="F137" s="10">
        <f t="shared" si="2"/>
        <v>0.25</v>
      </c>
      <c r="G137">
        <v>20</v>
      </c>
      <c r="H137">
        <v>66</v>
      </c>
    </row>
    <row r="138" spans="1:8" x14ac:dyDescent="0.3">
      <c r="A138" t="s">
        <v>173</v>
      </c>
      <c r="B138">
        <v>17616</v>
      </c>
      <c r="C138">
        <v>8862</v>
      </c>
      <c r="D138">
        <v>1</v>
      </c>
      <c r="E138" s="1">
        <v>26</v>
      </c>
      <c r="F138" s="10">
        <f t="shared" si="2"/>
        <v>0.26</v>
      </c>
      <c r="G138">
        <v>17</v>
      </c>
      <c r="H138">
        <v>63</v>
      </c>
    </row>
    <row r="139" spans="1:8" x14ac:dyDescent="0.3">
      <c r="A139" t="s">
        <v>174</v>
      </c>
      <c r="B139">
        <v>41141</v>
      </c>
      <c r="C139">
        <v>14530</v>
      </c>
      <c r="D139">
        <v>12</v>
      </c>
      <c r="E139" s="1">
        <v>0.27</v>
      </c>
      <c r="F139" s="10">
        <f t="shared" si="2"/>
        <v>0.27</v>
      </c>
      <c r="G139">
        <v>8</v>
      </c>
      <c r="H139">
        <v>19</v>
      </c>
    </row>
    <row r="140" spans="1:8" x14ac:dyDescent="0.3">
      <c r="A140" t="s">
        <v>175</v>
      </c>
      <c r="B140">
        <v>25577</v>
      </c>
      <c r="C140">
        <v>21498</v>
      </c>
      <c r="D140">
        <v>26</v>
      </c>
      <c r="E140" s="1">
        <v>23</v>
      </c>
      <c r="F140" s="10">
        <f t="shared" si="2"/>
        <v>0.23</v>
      </c>
      <c r="G140">
        <v>1</v>
      </c>
      <c r="H140">
        <v>32</v>
      </c>
    </row>
    <row r="141" spans="1:8" x14ac:dyDescent="0.3">
      <c r="A141" t="s">
        <v>176</v>
      </c>
      <c r="B141">
        <v>45842</v>
      </c>
      <c r="C141">
        <v>4243</v>
      </c>
      <c r="D141">
        <v>22</v>
      </c>
      <c r="E141" s="1">
        <v>20</v>
      </c>
      <c r="F141" s="10">
        <f t="shared" si="2"/>
        <v>0.2</v>
      </c>
      <c r="G141">
        <v>5</v>
      </c>
      <c r="H141">
        <v>19</v>
      </c>
    </row>
    <row r="142" spans="1:8" x14ac:dyDescent="0.3">
      <c r="A142" t="s">
        <v>177</v>
      </c>
      <c r="B142">
        <v>32790</v>
      </c>
      <c r="C142">
        <v>20381</v>
      </c>
      <c r="D142">
        <v>7</v>
      </c>
      <c r="E142" s="1">
        <v>6</v>
      </c>
      <c r="F142" s="10">
        <f t="shared" si="2"/>
        <v>0.06</v>
      </c>
      <c r="G142">
        <v>6</v>
      </c>
      <c r="H142">
        <v>3</v>
      </c>
    </row>
    <row r="143" spans="1:8" x14ac:dyDescent="0.3">
      <c r="A143" t="s">
        <v>178</v>
      </c>
      <c r="B143">
        <v>10315</v>
      </c>
      <c r="C143">
        <v>27581</v>
      </c>
      <c r="D143">
        <v>16</v>
      </c>
      <c r="E143" s="1">
        <v>0.01</v>
      </c>
      <c r="F143" s="10">
        <f t="shared" si="2"/>
        <v>0.01</v>
      </c>
      <c r="G143">
        <v>7</v>
      </c>
      <c r="H143">
        <v>8</v>
      </c>
    </row>
    <row r="144" spans="1:8" x14ac:dyDescent="0.3">
      <c r="A144" t="s">
        <v>179</v>
      </c>
      <c r="B144">
        <v>31695</v>
      </c>
      <c r="C144" t="s">
        <v>46</v>
      </c>
      <c r="D144">
        <v>3</v>
      </c>
      <c r="E144" s="1">
        <v>24</v>
      </c>
      <c r="F144" s="10">
        <f t="shared" si="2"/>
        <v>0.24</v>
      </c>
      <c r="G144">
        <v>5</v>
      </c>
      <c r="H144">
        <v>3</v>
      </c>
    </row>
    <row r="145" spans="1:8" x14ac:dyDescent="0.3">
      <c r="A145" t="s">
        <v>180</v>
      </c>
      <c r="B145">
        <v>7229</v>
      </c>
      <c r="C145">
        <v>29639</v>
      </c>
      <c r="D145">
        <v>6</v>
      </c>
      <c r="E145" s="1">
        <v>28</v>
      </c>
      <c r="F145" s="10">
        <f t="shared" si="2"/>
        <v>0.28000000000000003</v>
      </c>
      <c r="G145">
        <v>9</v>
      </c>
      <c r="H145">
        <v>55</v>
      </c>
    </row>
    <row r="146" spans="1:8" x14ac:dyDescent="0.3">
      <c r="A146" t="s">
        <v>181</v>
      </c>
      <c r="B146">
        <v>1081</v>
      </c>
      <c r="C146">
        <v>8655</v>
      </c>
      <c r="D146">
        <v>19</v>
      </c>
      <c r="E146" s="1">
        <v>0.22</v>
      </c>
      <c r="F146" s="10">
        <f t="shared" si="2"/>
        <v>0.22</v>
      </c>
      <c r="G146">
        <v>0</v>
      </c>
      <c r="H146">
        <v>71</v>
      </c>
    </row>
    <row r="147" spans="1:8" x14ac:dyDescent="0.3">
      <c r="A147" t="s">
        <v>182</v>
      </c>
      <c r="B147">
        <v>27147</v>
      </c>
      <c r="C147">
        <v>14536</v>
      </c>
      <c r="D147">
        <v>7</v>
      </c>
      <c r="E147" s="1">
        <v>16</v>
      </c>
      <c r="F147" s="10">
        <f t="shared" si="2"/>
        <v>0.16</v>
      </c>
      <c r="G147">
        <v>13</v>
      </c>
      <c r="H147">
        <v>34</v>
      </c>
    </row>
    <row r="148" spans="1:8" x14ac:dyDescent="0.3">
      <c r="A148" t="s">
        <v>183</v>
      </c>
      <c r="B148">
        <v>28860</v>
      </c>
      <c r="C148">
        <v>13908</v>
      </c>
      <c r="D148">
        <v>3</v>
      </c>
      <c r="E148" s="1">
        <v>17</v>
      </c>
      <c r="F148" s="10">
        <f t="shared" si="2"/>
        <v>0.17</v>
      </c>
      <c r="G148">
        <v>11</v>
      </c>
      <c r="H148">
        <v>64</v>
      </c>
    </row>
    <row r="149" spans="1:8" x14ac:dyDescent="0.3">
      <c r="A149" t="s">
        <v>184</v>
      </c>
      <c r="B149">
        <v>20378</v>
      </c>
      <c r="C149">
        <v>27433</v>
      </c>
      <c r="D149">
        <v>30</v>
      </c>
      <c r="E149" s="1">
        <v>0.12</v>
      </c>
      <c r="F149" s="10">
        <f t="shared" si="2"/>
        <v>0.12</v>
      </c>
      <c r="G149">
        <v>7</v>
      </c>
      <c r="H149">
        <v>10</v>
      </c>
    </row>
    <row r="150" spans="1:8" x14ac:dyDescent="0.3">
      <c r="A150" t="s">
        <v>185</v>
      </c>
      <c r="B150">
        <v>31997</v>
      </c>
      <c r="C150" t="s">
        <v>46</v>
      </c>
      <c r="D150">
        <v>26</v>
      </c>
      <c r="E150" s="1">
        <v>1</v>
      </c>
      <c r="F150" s="10">
        <f t="shared" si="2"/>
        <v>1</v>
      </c>
      <c r="G150">
        <v>5</v>
      </c>
      <c r="H150">
        <v>57</v>
      </c>
    </row>
    <row r="151" spans="1:8" x14ac:dyDescent="0.3">
      <c r="A151" t="s">
        <v>186</v>
      </c>
      <c r="B151">
        <v>11902</v>
      </c>
      <c r="C151">
        <v>12219</v>
      </c>
      <c r="D151">
        <v>8</v>
      </c>
      <c r="E151" s="1">
        <v>8</v>
      </c>
      <c r="F151" s="10">
        <f t="shared" si="2"/>
        <v>0.08</v>
      </c>
      <c r="G151">
        <v>14</v>
      </c>
      <c r="H151">
        <v>8</v>
      </c>
    </row>
    <row r="152" spans="1:8" x14ac:dyDescent="0.3">
      <c r="A152" t="s">
        <v>187</v>
      </c>
      <c r="B152">
        <v>19513</v>
      </c>
      <c r="C152">
        <v>23014</v>
      </c>
      <c r="D152">
        <v>29</v>
      </c>
      <c r="E152" s="1">
        <v>0.08</v>
      </c>
      <c r="F152" s="10">
        <f t="shared" si="2"/>
        <v>0.08</v>
      </c>
      <c r="G152">
        <v>13</v>
      </c>
      <c r="H152">
        <v>41</v>
      </c>
    </row>
    <row r="153" spans="1:8" x14ac:dyDescent="0.3">
      <c r="A153" t="s">
        <v>188</v>
      </c>
      <c r="B153">
        <v>46664</v>
      </c>
      <c r="C153">
        <v>23398</v>
      </c>
      <c r="D153">
        <v>10</v>
      </c>
      <c r="E153" s="1">
        <v>4</v>
      </c>
      <c r="F153" s="10">
        <f t="shared" si="2"/>
        <v>0.04</v>
      </c>
      <c r="G153">
        <v>13</v>
      </c>
      <c r="H153">
        <v>18</v>
      </c>
    </row>
    <row r="154" spans="1:8" x14ac:dyDescent="0.3">
      <c r="A154" t="s">
        <v>189</v>
      </c>
      <c r="B154">
        <v>44844</v>
      </c>
      <c r="C154">
        <v>11958</v>
      </c>
      <c r="D154">
        <v>4</v>
      </c>
      <c r="E154" s="1">
        <v>0.02</v>
      </c>
      <c r="F154" s="10">
        <f t="shared" si="2"/>
        <v>0.02</v>
      </c>
      <c r="G154">
        <v>4</v>
      </c>
      <c r="H154">
        <v>39</v>
      </c>
    </row>
    <row r="155" spans="1:8" x14ac:dyDescent="0.3">
      <c r="A155" t="s">
        <v>190</v>
      </c>
      <c r="B155">
        <v>23330</v>
      </c>
      <c r="C155">
        <v>20975</v>
      </c>
      <c r="D155">
        <v>6</v>
      </c>
      <c r="E155" s="1">
        <v>13</v>
      </c>
      <c r="F155" s="10">
        <f t="shared" si="2"/>
        <v>0.13</v>
      </c>
      <c r="G155">
        <v>19</v>
      </c>
      <c r="H155">
        <v>58</v>
      </c>
    </row>
    <row r="156" spans="1:8" x14ac:dyDescent="0.3">
      <c r="A156" t="s">
        <v>191</v>
      </c>
      <c r="B156">
        <v>36031</v>
      </c>
      <c r="C156">
        <v>13078</v>
      </c>
      <c r="D156">
        <v>18</v>
      </c>
      <c r="E156" s="1">
        <v>0.06</v>
      </c>
      <c r="F156" s="10">
        <f t="shared" si="2"/>
        <v>0.06</v>
      </c>
      <c r="G156">
        <v>14</v>
      </c>
      <c r="H156">
        <v>3</v>
      </c>
    </row>
    <row r="157" spans="1:8" x14ac:dyDescent="0.3">
      <c r="A157" t="s">
        <v>192</v>
      </c>
      <c r="B157">
        <v>3795</v>
      </c>
      <c r="C157">
        <v>12191</v>
      </c>
      <c r="D157">
        <v>14</v>
      </c>
      <c r="E157" s="1">
        <v>0.08</v>
      </c>
      <c r="F157" s="10">
        <f t="shared" si="2"/>
        <v>0.08</v>
      </c>
      <c r="G157">
        <v>18</v>
      </c>
      <c r="H157">
        <v>31</v>
      </c>
    </row>
    <row r="158" spans="1:8" x14ac:dyDescent="0.3">
      <c r="A158" t="s">
        <v>193</v>
      </c>
      <c r="B158">
        <v>38798</v>
      </c>
      <c r="C158">
        <v>14484</v>
      </c>
      <c r="D158">
        <v>23</v>
      </c>
      <c r="E158" s="1">
        <v>0.02</v>
      </c>
      <c r="F158" s="10">
        <f t="shared" si="2"/>
        <v>0.02</v>
      </c>
      <c r="G158">
        <v>3</v>
      </c>
      <c r="H158">
        <v>37</v>
      </c>
    </row>
    <row r="159" spans="1:8" x14ac:dyDescent="0.3">
      <c r="A159" t="s">
        <v>194</v>
      </c>
      <c r="B159">
        <v>14233</v>
      </c>
      <c r="C159">
        <v>5765</v>
      </c>
      <c r="D159">
        <v>8</v>
      </c>
      <c r="E159" s="1">
        <v>0.2</v>
      </c>
      <c r="F159" s="10">
        <f t="shared" si="2"/>
        <v>0.2</v>
      </c>
      <c r="G159">
        <v>15</v>
      </c>
      <c r="H159">
        <v>41</v>
      </c>
    </row>
    <row r="160" spans="1:8" x14ac:dyDescent="0.3">
      <c r="A160" t="s">
        <v>195</v>
      </c>
      <c r="B160">
        <v>15136</v>
      </c>
      <c r="C160">
        <v>8677</v>
      </c>
      <c r="D160">
        <v>30</v>
      </c>
      <c r="E160" s="1">
        <v>0.03</v>
      </c>
      <c r="F160" s="10">
        <f t="shared" si="2"/>
        <v>0.03</v>
      </c>
      <c r="G160">
        <v>17</v>
      </c>
      <c r="H160">
        <v>56</v>
      </c>
    </row>
    <row r="161" spans="1:8" x14ac:dyDescent="0.3">
      <c r="A161" t="s">
        <v>196</v>
      </c>
      <c r="B161">
        <v>26428</v>
      </c>
      <c r="C161">
        <v>16159</v>
      </c>
      <c r="D161">
        <v>10</v>
      </c>
      <c r="E161" s="1">
        <v>0.03</v>
      </c>
      <c r="F161" s="10">
        <f t="shared" si="2"/>
        <v>0.03</v>
      </c>
      <c r="G161">
        <v>4</v>
      </c>
      <c r="H161">
        <v>47</v>
      </c>
    </row>
    <row r="162" spans="1:8" x14ac:dyDescent="0.3">
      <c r="A162" t="s">
        <v>197</v>
      </c>
      <c r="B162">
        <v>6919</v>
      </c>
      <c r="C162">
        <v>5184</v>
      </c>
      <c r="D162">
        <v>5</v>
      </c>
      <c r="E162" s="1">
        <v>30</v>
      </c>
      <c r="F162" s="10">
        <f t="shared" si="2"/>
        <v>0.3</v>
      </c>
      <c r="G162">
        <v>18</v>
      </c>
      <c r="H162">
        <v>70</v>
      </c>
    </row>
    <row r="163" spans="1:8" x14ac:dyDescent="0.3">
      <c r="A163" t="s">
        <v>198</v>
      </c>
      <c r="B163">
        <v>44118</v>
      </c>
      <c r="C163">
        <v>19773</v>
      </c>
      <c r="D163">
        <v>9</v>
      </c>
      <c r="E163" s="1">
        <v>22</v>
      </c>
      <c r="F163" s="10">
        <f t="shared" si="2"/>
        <v>0.22</v>
      </c>
      <c r="G163">
        <v>6</v>
      </c>
      <c r="H163">
        <v>23</v>
      </c>
    </row>
    <row r="164" spans="1:8" x14ac:dyDescent="0.3">
      <c r="A164" t="s">
        <v>199</v>
      </c>
      <c r="B164">
        <v>4608</v>
      </c>
      <c r="C164">
        <v>1442</v>
      </c>
      <c r="D164">
        <v>17</v>
      </c>
      <c r="E164" s="1">
        <v>0.1</v>
      </c>
      <c r="F164" s="10">
        <f t="shared" si="2"/>
        <v>0.1</v>
      </c>
      <c r="G164">
        <v>17</v>
      </c>
      <c r="H164">
        <v>60</v>
      </c>
    </row>
    <row r="165" spans="1:8" x14ac:dyDescent="0.3">
      <c r="A165" t="s">
        <v>200</v>
      </c>
      <c r="B165">
        <v>28090</v>
      </c>
      <c r="C165">
        <v>19632</v>
      </c>
      <c r="D165">
        <v>20</v>
      </c>
      <c r="E165" s="1">
        <v>2</v>
      </c>
      <c r="F165" s="10">
        <f t="shared" si="2"/>
        <v>0.02</v>
      </c>
      <c r="G165">
        <v>8</v>
      </c>
      <c r="H165">
        <v>67</v>
      </c>
    </row>
    <row r="166" spans="1:8" x14ac:dyDescent="0.3">
      <c r="A166" t="s">
        <v>201</v>
      </c>
      <c r="B166">
        <v>48127</v>
      </c>
      <c r="C166" t="s">
        <v>46</v>
      </c>
      <c r="D166">
        <v>10</v>
      </c>
      <c r="E166" s="1">
        <v>7</v>
      </c>
      <c r="F166" s="10">
        <f t="shared" si="2"/>
        <v>7.0000000000000007E-2</v>
      </c>
      <c r="G166">
        <v>17</v>
      </c>
      <c r="H166">
        <v>31</v>
      </c>
    </row>
    <row r="167" spans="1:8" x14ac:dyDescent="0.3">
      <c r="A167" t="s">
        <v>202</v>
      </c>
      <c r="B167">
        <v>13213</v>
      </c>
      <c r="C167">
        <v>3575</v>
      </c>
      <c r="D167">
        <v>9</v>
      </c>
      <c r="E167" s="1">
        <v>0.13</v>
      </c>
      <c r="F167" s="10">
        <f t="shared" si="2"/>
        <v>0.13</v>
      </c>
      <c r="G167">
        <v>14</v>
      </c>
      <c r="H167">
        <v>55</v>
      </c>
    </row>
    <row r="168" spans="1:8" x14ac:dyDescent="0.3">
      <c r="A168" t="s">
        <v>203</v>
      </c>
      <c r="B168">
        <v>6429</v>
      </c>
      <c r="C168">
        <v>4480</v>
      </c>
      <c r="D168">
        <v>23</v>
      </c>
      <c r="E168" s="1">
        <v>0.3</v>
      </c>
      <c r="F168" s="10">
        <f t="shared" si="2"/>
        <v>0.3</v>
      </c>
      <c r="G168">
        <v>9</v>
      </c>
      <c r="H168">
        <v>1</v>
      </c>
    </row>
    <row r="169" spans="1:8" x14ac:dyDescent="0.3">
      <c r="A169" t="s">
        <v>204</v>
      </c>
      <c r="B169">
        <v>3349</v>
      </c>
      <c r="C169">
        <v>3716</v>
      </c>
      <c r="D169">
        <v>27</v>
      </c>
      <c r="E169" s="1">
        <v>18</v>
      </c>
      <c r="F169" s="10">
        <f t="shared" si="2"/>
        <v>0.18</v>
      </c>
      <c r="G169">
        <v>16</v>
      </c>
      <c r="H169">
        <v>45</v>
      </c>
    </row>
    <row r="170" spans="1:8" x14ac:dyDescent="0.3">
      <c r="A170" t="s">
        <v>206</v>
      </c>
      <c r="B170">
        <v>27307</v>
      </c>
      <c r="C170">
        <v>22998</v>
      </c>
      <c r="D170">
        <v>3</v>
      </c>
      <c r="E170" s="1">
        <v>7</v>
      </c>
      <c r="F170" s="10">
        <f t="shared" si="2"/>
        <v>7.0000000000000007E-2</v>
      </c>
      <c r="G170">
        <v>9</v>
      </c>
      <c r="H170">
        <v>31</v>
      </c>
    </row>
    <row r="171" spans="1:8" x14ac:dyDescent="0.3">
      <c r="A171" t="s">
        <v>207</v>
      </c>
      <c r="B171">
        <v>47919</v>
      </c>
      <c r="C171">
        <v>27032</v>
      </c>
      <c r="D171">
        <v>24</v>
      </c>
      <c r="E171" s="1">
        <v>0.09</v>
      </c>
      <c r="F171" s="10">
        <f t="shared" si="2"/>
        <v>0.09</v>
      </c>
      <c r="G171">
        <v>1</v>
      </c>
      <c r="H171">
        <v>56</v>
      </c>
    </row>
    <row r="172" spans="1:8" x14ac:dyDescent="0.3">
      <c r="A172" t="s">
        <v>208</v>
      </c>
      <c r="B172">
        <v>44983</v>
      </c>
      <c r="C172">
        <v>10855</v>
      </c>
      <c r="D172">
        <v>6</v>
      </c>
      <c r="E172" s="1">
        <v>7.0000000000000007E-2</v>
      </c>
      <c r="F172" s="10">
        <f t="shared" si="2"/>
        <v>7.0000000000000007E-2</v>
      </c>
      <c r="G172">
        <v>11</v>
      </c>
      <c r="H172">
        <v>71</v>
      </c>
    </row>
    <row r="173" spans="1:8" x14ac:dyDescent="0.3">
      <c r="A173" t="s">
        <v>209</v>
      </c>
      <c r="B173">
        <v>21287</v>
      </c>
      <c r="C173">
        <v>17452</v>
      </c>
      <c r="D173">
        <v>1</v>
      </c>
      <c r="E173" s="1">
        <v>1</v>
      </c>
      <c r="F173" s="10">
        <f t="shared" si="2"/>
        <v>1</v>
      </c>
      <c r="G173">
        <v>4</v>
      </c>
      <c r="H173">
        <v>71</v>
      </c>
    </row>
    <row r="174" spans="1:8" x14ac:dyDescent="0.3">
      <c r="A174" t="s">
        <v>210</v>
      </c>
      <c r="B174">
        <v>22288</v>
      </c>
      <c r="C174">
        <v>11440</v>
      </c>
      <c r="D174">
        <v>23</v>
      </c>
      <c r="E174" s="1">
        <v>0.1</v>
      </c>
      <c r="F174" s="10">
        <f t="shared" si="2"/>
        <v>0.1</v>
      </c>
      <c r="G174">
        <v>3</v>
      </c>
      <c r="H174">
        <v>2</v>
      </c>
    </row>
    <row r="175" spans="1:8" x14ac:dyDescent="0.3">
      <c r="A175" t="s">
        <v>211</v>
      </c>
      <c r="B175">
        <v>39126</v>
      </c>
      <c r="C175">
        <v>9709</v>
      </c>
      <c r="D175">
        <v>28</v>
      </c>
      <c r="E175" s="1">
        <v>11</v>
      </c>
      <c r="F175" s="10">
        <f t="shared" si="2"/>
        <v>0.11</v>
      </c>
      <c r="G175">
        <v>13</v>
      </c>
      <c r="H175">
        <v>69</v>
      </c>
    </row>
    <row r="176" spans="1:8" x14ac:dyDescent="0.3">
      <c r="A176" t="s">
        <v>212</v>
      </c>
      <c r="B176">
        <v>46757</v>
      </c>
      <c r="C176">
        <v>17149</v>
      </c>
      <c r="D176">
        <v>8</v>
      </c>
      <c r="E176" s="1">
        <v>18</v>
      </c>
      <c r="F176" s="10">
        <f t="shared" si="2"/>
        <v>0.18</v>
      </c>
      <c r="G176">
        <v>14</v>
      </c>
      <c r="H176">
        <v>57</v>
      </c>
    </row>
    <row r="177" spans="1:8" x14ac:dyDescent="0.3">
      <c r="A177" t="s">
        <v>213</v>
      </c>
      <c r="B177">
        <v>30720</v>
      </c>
      <c r="C177">
        <v>16445</v>
      </c>
      <c r="D177">
        <v>8</v>
      </c>
      <c r="E177" s="1">
        <v>0.28000000000000003</v>
      </c>
      <c r="F177" s="10">
        <f t="shared" si="2"/>
        <v>0.28000000000000003</v>
      </c>
      <c r="G177">
        <v>7</v>
      </c>
      <c r="H177">
        <v>24</v>
      </c>
    </row>
    <row r="178" spans="1:8" x14ac:dyDescent="0.3">
      <c r="A178" t="s">
        <v>214</v>
      </c>
      <c r="B178">
        <v>28495</v>
      </c>
      <c r="C178">
        <v>21861</v>
      </c>
      <c r="D178">
        <v>26</v>
      </c>
      <c r="E178" s="1">
        <v>24</v>
      </c>
      <c r="F178" s="10">
        <f t="shared" si="2"/>
        <v>0.24</v>
      </c>
      <c r="G178">
        <v>8</v>
      </c>
      <c r="H178">
        <v>34</v>
      </c>
    </row>
    <row r="179" spans="1:8" x14ac:dyDescent="0.3">
      <c r="A179" t="s">
        <v>215</v>
      </c>
      <c r="B179">
        <v>45461</v>
      </c>
      <c r="C179">
        <v>11847</v>
      </c>
      <c r="D179">
        <v>18</v>
      </c>
      <c r="E179" s="1">
        <v>11</v>
      </c>
      <c r="F179" s="10">
        <f t="shared" si="2"/>
        <v>0.11</v>
      </c>
      <c r="G179">
        <v>8</v>
      </c>
      <c r="H179">
        <v>10</v>
      </c>
    </row>
    <row r="180" spans="1:8" x14ac:dyDescent="0.3">
      <c r="A180" t="s">
        <v>216</v>
      </c>
      <c r="B180">
        <v>9398</v>
      </c>
      <c r="C180">
        <v>28590</v>
      </c>
      <c r="D180">
        <v>12</v>
      </c>
      <c r="E180" s="1">
        <v>0.11</v>
      </c>
      <c r="F180" s="10">
        <f t="shared" si="2"/>
        <v>0.11</v>
      </c>
      <c r="G180">
        <v>10</v>
      </c>
      <c r="H180">
        <v>67</v>
      </c>
    </row>
    <row r="181" spans="1:8" x14ac:dyDescent="0.3">
      <c r="A181" t="s">
        <v>217</v>
      </c>
      <c r="B181">
        <v>29494</v>
      </c>
      <c r="C181">
        <v>27789</v>
      </c>
      <c r="D181">
        <v>22</v>
      </c>
      <c r="E181" s="1">
        <v>10</v>
      </c>
      <c r="F181" s="10">
        <f t="shared" si="2"/>
        <v>0.1</v>
      </c>
      <c r="G181">
        <v>13</v>
      </c>
      <c r="H181">
        <v>21</v>
      </c>
    </row>
    <row r="182" spans="1:8" x14ac:dyDescent="0.3">
      <c r="A182" t="s">
        <v>218</v>
      </c>
      <c r="B182">
        <v>36659</v>
      </c>
      <c r="C182">
        <v>25284</v>
      </c>
      <c r="D182">
        <v>7</v>
      </c>
      <c r="E182" s="1">
        <v>0.24</v>
      </c>
      <c r="F182" s="10">
        <f t="shared" si="2"/>
        <v>0.24</v>
      </c>
      <c r="G182">
        <v>19</v>
      </c>
      <c r="H182">
        <v>39</v>
      </c>
    </row>
    <row r="183" spans="1:8" x14ac:dyDescent="0.3">
      <c r="A183" t="s">
        <v>219</v>
      </c>
      <c r="B183">
        <v>12477</v>
      </c>
      <c r="C183">
        <v>11630</v>
      </c>
      <c r="D183">
        <v>19</v>
      </c>
      <c r="E183" s="1">
        <v>11</v>
      </c>
      <c r="F183" s="10">
        <f t="shared" si="2"/>
        <v>0.11</v>
      </c>
      <c r="G183">
        <v>0</v>
      </c>
      <c r="H183">
        <v>47</v>
      </c>
    </row>
    <row r="184" spans="1:8" x14ac:dyDescent="0.3">
      <c r="A184" t="s">
        <v>220</v>
      </c>
      <c r="B184">
        <v>24867</v>
      </c>
      <c r="C184">
        <v>3755</v>
      </c>
      <c r="D184">
        <v>26</v>
      </c>
      <c r="E184" s="1">
        <v>0.06</v>
      </c>
      <c r="F184" s="10">
        <f t="shared" si="2"/>
        <v>0.06</v>
      </c>
      <c r="G184">
        <v>4</v>
      </c>
      <c r="H184">
        <v>44</v>
      </c>
    </row>
    <row r="185" spans="1:8" x14ac:dyDescent="0.3">
      <c r="A185" t="s">
        <v>221</v>
      </c>
      <c r="B185">
        <v>5928</v>
      </c>
      <c r="C185">
        <v>14362</v>
      </c>
      <c r="D185">
        <v>19</v>
      </c>
      <c r="E185" s="1">
        <v>0.3</v>
      </c>
      <c r="F185" s="10">
        <f t="shared" si="2"/>
        <v>0.3</v>
      </c>
      <c r="G185">
        <v>15</v>
      </c>
      <c r="H185">
        <v>13</v>
      </c>
    </row>
    <row r="186" spans="1:8" x14ac:dyDescent="0.3">
      <c r="A186" t="s">
        <v>222</v>
      </c>
      <c r="B186">
        <v>29946</v>
      </c>
      <c r="C186">
        <v>22636</v>
      </c>
      <c r="D186">
        <v>23</v>
      </c>
      <c r="E186" s="1">
        <v>0.13</v>
      </c>
      <c r="F186" s="10">
        <f t="shared" si="2"/>
        <v>0.13</v>
      </c>
      <c r="G186">
        <v>10</v>
      </c>
      <c r="H186">
        <v>37</v>
      </c>
    </row>
    <row r="187" spans="1:8" x14ac:dyDescent="0.3">
      <c r="A187" t="s">
        <v>223</v>
      </c>
      <c r="B187">
        <v>43525</v>
      </c>
      <c r="C187">
        <v>17035</v>
      </c>
      <c r="D187">
        <v>12</v>
      </c>
      <c r="E187" s="1">
        <v>21</v>
      </c>
      <c r="F187" s="10">
        <f t="shared" si="2"/>
        <v>0.21</v>
      </c>
      <c r="G187">
        <v>6</v>
      </c>
      <c r="H187">
        <v>57</v>
      </c>
    </row>
    <row r="188" spans="1:8" x14ac:dyDescent="0.3">
      <c r="A188" t="s">
        <v>224</v>
      </c>
      <c r="B188">
        <v>10799</v>
      </c>
      <c r="C188">
        <v>4052</v>
      </c>
      <c r="D188">
        <v>14</v>
      </c>
      <c r="E188" s="1">
        <v>4</v>
      </c>
      <c r="F188" s="10">
        <f t="shared" si="2"/>
        <v>0.04</v>
      </c>
      <c r="G188">
        <v>4</v>
      </c>
      <c r="H188">
        <v>2</v>
      </c>
    </row>
    <row r="189" spans="1:8" x14ac:dyDescent="0.3">
      <c r="A189" t="s">
        <v>225</v>
      </c>
      <c r="B189">
        <v>1914</v>
      </c>
      <c r="C189">
        <v>29848</v>
      </c>
      <c r="D189">
        <v>11</v>
      </c>
      <c r="E189" s="1">
        <v>25</v>
      </c>
      <c r="F189" s="10">
        <f t="shared" si="2"/>
        <v>0.25</v>
      </c>
      <c r="G189">
        <v>18</v>
      </c>
      <c r="H189">
        <v>41</v>
      </c>
    </row>
    <row r="190" spans="1:8" x14ac:dyDescent="0.3">
      <c r="A190" t="s">
        <v>226</v>
      </c>
      <c r="B190">
        <v>43344</v>
      </c>
      <c r="C190">
        <v>19782</v>
      </c>
      <c r="D190">
        <v>1</v>
      </c>
      <c r="E190" s="1">
        <v>0.28999999999999998</v>
      </c>
      <c r="F190" s="10">
        <f t="shared" si="2"/>
        <v>0.28999999999999998</v>
      </c>
      <c r="G190">
        <v>16</v>
      </c>
      <c r="H190">
        <v>42</v>
      </c>
    </row>
    <row r="191" spans="1:8" x14ac:dyDescent="0.3">
      <c r="A191" t="s">
        <v>227</v>
      </c>
      <c r="B191">
        <v>27307</v>
      </c>
      <c r="C191">
        <v>25758</v>
      </c>
      <c r="D191">
        <v>8</v>
      </c>
      <c r="E191" s="1">
        <v>17</v>
      </c>
      <c r="F191" s="10">
        <f t="shared" si="2"/>
        <v>0.17</v>
      </c>
      <c r="G191">
        <v>16</v>
      </c>
      <c r="H191">
        <v>35</v>
      </c>
    </row>
    <row r="192" spans="1:8" x14ac:dyDescent="0.3">
      <c r="A192" t="s">
        <v>228</v>
      </c>
      <c r="B192">
        <v>47545</v>
      </c>
      <c r="C192">
        <v>22756</v>
      </c>
      <c r="D192">
        <v>16</v>
      </c>
      <c r="E192" s="1">
        <v>0.24</v>
      </c>
      <c r="F192" s="10">
        <f t="shared" si="2"/>
        <v>0.24</v>
      </c>
      <c r="G192">
        <v>18</v>
      </c>
      <c r="H192">
        <v>66</v>
      </c>
    </row>
    <row r="193" spans="1:8" x14ac:dyDescent="0.3">
      <c r="A193" t="s">
        <v>229</v>
      </c>
      <c r="B193">
        <v>36921</v>
      </c>
      <c r="C193">
        <v>6281</v>
      </c>
      <c r="D193">
        <v>16</v>
      </c>
      <c r="E193" s="1">
        <v>0.16</v>
      </c>
      <c r="F193" s="10">
        <f t="shared" si="2"/>
        <v>0.16</v>
      </c>
      <c r="G193">
        <v>6</v>
      </c>
      <c r="H193">
        <v>64</v>
      </c>
    </row>
    <row r="194" spans="1:8" x14ac:dyDescent="0.3">
      <c r="A194" t="s">
        <v>230</v>
      </c>
      <c r="B194">
        <v>30495</v>
      </c>
      <c r="C194">
        <v>23501</v>
      </c>
      <c r="D194">
        <v>9</v>
      </c>
      <c r="E194" s="1">
        <v>0.18</v>
      </c>
      <c r="F194" s="10">
        <f t="shared" si="2"/>
        <v>0.18</v>
      </c>
      <c r="G194">
        <v>18</v>
      </c>
      <c r="H194">
        <v>58</v>
      </c>
    </row>
    <row r="195" spans="1:8" x14ac:dyDescent="0.3">
      <c r="A195" t="s">
        <v>231</v>
      </c>
      <c r="B195">
        <v>26162</v>
      </c>
      <c r="C195" t="s">
        <v>46</v>
      </c>
      <c r="D195">
        <v>26</v>
      </c>
      <c r="E195" s="1">
        <v>0.25</v>
      </c>
      <c r="F195" s="10">
        <f t="shared" ref="F195:F201" si="3">IF(E195&gt;1, E195/100, E195)</f>
        <v>0.25</v>
      </c>
      <c r="G195">
        <v>10</v>
      </c>
      <c r="H195">
        <v>65</v>
      </c>
    </row>
    <row r="196" spans="1:8" x14ac:dyDescent="0.3">
      <c r="A196" t="s">
        <v>232</v>
      </c>
      <c r="B196">
        <v>13610</v>
      </c>
      <c r="C196">
        <v>22390</v>
      </c>
      <c r="D196">
        <v>26</v>
      </c>
      <c r="E196" s="1">
        <v>23</v>
      </c>
      <c r="F196" s="10">
        <f t="shared" si="3"/>
        <v>0.23</v>
      </c>
      <c r="G196">
        <v>16</v>
      </c>
      <c r="H196">
        <v>15</v>
      </c>
    </row>
    <row r="197" spans="1:8" x14ac:dyDescent="0.3">
      <c r="A197" t="s">
        <v>233</v>
      </c>
      <c r="B197">
        <v>23972</v>
      </c>
      <c r="C197">
        <v>26902</v>
      </c>
      <c r="D197">
        <v>18</v>
      </c>
      <c r="E197" s="1">
        <v>0.04</v>
      </c>
      <c r="F197" s="10">
        <f t="shared" si="3"/>
        <v>0.04</v>
      </c>
      <c r="G197">
        <v>10</v>
      </c>
      <c r="H197">
        <v>43</v>
      </c>
    </row>
    <row r="198" spans="1:8" x14ac:dyDescent="0.3">
      <c r="A198" t="s">
        <v>234</v>
      </c>
      <c r="B198">
        <v>26196</v>
      </c>
      <c r="C198">
        <v>29768</v>
      </c>
      <c r="D198">
        <v>19</v>
      </c>
      <c r="E198" s="1">
        <v>5</v>
      </c>
      <c r="F198" s="10">
        <f t="shared" si="3"/>
        <v>0.05</v>
      </c>
      <c r="G198">
        <v>13</v>
      </c>
      <c r="H198">
        <v>23</v>
      </c>
    </row>
    <row r="199" spans="1:8" x14ac:dyDescent="0.3">
      <c r="A199" t="s">
        <v>235</v>
      </c>
      <c r="B199">
        <v>16843</v>
      </c>
      <c r="C199">
        <v>543</v>
      </c>
      <c r="D199">
        <v>16</v>
      </c>
      <c r="E199" s="1">
        <v>0.13</v>
      </c>
      <c r="F199" s="10">
        <f t="shared" si="3"/>
        <v>0.13</v>
      </c>
      <c r="G199">
        <v>7</v>
      </c>
      <c r="H199">
        <v>64</v>
      </c>
    </row>
    <row r="200" spans="1:8" x14ac:dyDescent="0.3">
      <c r="A200" t="s">
        <v>236</v>
      </c>
      <c r="B200">
        <v>30398</v>
      </c>
      <c r="C200">
        <v>28694</v>
      </c>
      <c r="D200">
        <v>26</v>
      </c>
      <c r="E200" s="1">
        <v>5</v>
      </c>
      <c r="F200" s="10">
        <f t="shared" si="3"/>
        <v>0.05</v>
      </c>
      <c r="G200">
        <v>17</v>
      </c>
      <c r="H200">
        <v>7</v>
      </c>
    </row>
    <row r="201" spans="1:8" x14ac:dyDescent="0.3">
      <c r="A201" t="s">
        <v>237</v>
      </c>
      <c r="B201">
        <v>29872</v>
      </c>
      <c r="C201">
        <v>16653</v>
      </c>
      <c r="D201">
        <v>15</v>
      </c>
      <c r="E201" s="1">
        <v>2</v>
      </c>
      <c r="F201" s="10">
        <f t="shared" si="3"/>
        <v>0.02</v>
      </c>
      <c r="G201">
        <v>3</v>
      </c>
      <c r="H201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2122-AF1A-43CA-917D-6D07FBA8140D}">
  <dimension ref="A1:K201"/>
  <sheetViews>
    <sheetView topLeftCell="G67" workbookViewId="0">
      <selection activeCell="E20" sqref="E20"/>
    </sheetView>
  </sheetViews>
  <sheetFormatPr defaultRowHeight="14.4" x14ac:dyDescent="0.3"/>
  <cols>
    <col min="1" max="1" width="16.44140625" customWidth="1"/>
    <col min="2" max="2" width="16.5546875" customWidth="1"/>
    <col min="3" max="3" width="13.77734375" customWidth="1"/>
    <col min="4" max="4" width="15.5546875" customWidth="1"/>
    <col min="5" max="5" width="14.44140625" customWidth="1"/>
    <col min="6" max="6" width="13.33203125" customWidth="1"/>
    <col min="7" max="7" width="16.21875" customWidth="1"/>
    <col min="8" max="8" width="20.88671875" customWidth="1"/>
    <col min="9" max="9" width="13.77734375" customWidth="1"/>
    <col min="10" max="10" width="15.21875" customWidth="1"/>
    <col min="11" max="11" width="21" customWidth="1"/>
    <col min="12" max="12" width="15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238</v>
      </c>
      <c r="I1" t="s">
        <v>240</v>
      </c>
      <c r="J1" t="s">
        <v>239</v>
      </c>
      <c r="K1" t="s">
        <v>241</v>
      </c>
    </row>
    <row r="2" spans="1:11" x14ac:dyDescent="0.3">
      <c r="A2" t="str">
        <f>Raw_Data!A2</f>
        <v>C001</v>
      </c>
      <c r="B2">
        <v>2658</v>
      </c>
      <c r="C2">
        <v>21973</v>
      </c>
      <c r="D2">
        <v>22</v>
      </c>
      <c r="E2" s="1">
        <v>0.22</v>
      </c>
      <c r="F2">
        <v>16</v>
      </c>
      <c r="G2">
        <v>23</v>
      </c>
      <c r="H2">
        <f>IF(ISNUMBER(SEARCH("%",E2)), VALUE(SUBSTITUTE(E2,"%",""))/100, E2)</f>
        <v>0.22</v>
      </c>
      <c r="I2">
        <f>IF(C2="", $J$2, C2)</f>
        <v>21973</v>
      </c>
      <c r="J2">
        <f>MEDIAN(C:C)</f>
        <v>16549</v>
      </c>
      <c r="K2" t="str">
        <f>IF(B2&gt;PERCENTILE($B:$B,0.95),"Yes","No")</f>
        <v>No</v>
      </c>
    </row>
    <row r="3" spans="1:11" x14ac:dyDescent="0.3">
      <c r="A3" t="str">
        <f>Raw_Data!A3</f>
        <v>C002</v>
      </c>
      <c r="B3">
        <v>5103</v>
      </c>
      <c r="C3">
        <v>14484</v>
      </c>
      <c r="D3">
        <v>1</v>
      </c>
      <c r="E3" s="1" t="s">
        <v>9</v>
      </c>
      <c r="F3">
        <v>18</v>
      </c>
      <c r="G3">
        <v>14</v>
      </c>
      <c r="H3">
        <f t="shared" ref="H3:H66" si="0">IF(ISNUMBER(SEARCH("%",E3)), VALUE(SUBSTITUTE(E3,"%",""))/100, E3)</f>
        <v>0.15</v>
      </c>
      <c r="I3">
        <f t="shared" ref="I3:I66" si="1">IF(C3="", $J$2, C3)</f>
        <v>14484</v>
      </c>
      <c r="K3" t="str">
        <f t="shared" ref="K3:K66" si="2">IF(B3&gt;PERCENTILE($B:$B,0.95),"Yes","No")</f>
        <v>No</v>
      </c>
    </row>
    <row r="4" spans="1:11" x14ac:dyDescent="0.3">
      <c r="A4" t="str">
        <f>Raw_Data!A4</f>
        <v>C003</v>
      </c>
      <c r="B4">
        <v>25079</v>
      </c>
      <c r="C4">
        <v>27280</v>
      </c>
      <c r="D4">
        <v>11</v>
      </c>
      <c r="E4" s="1">
        <v>0.18</v>
      </c>
      <c r="F4">
        <v>16</v>
      </c>
      <c r="G4">
        <v>56</v>
      </c>
      <c r="H4">
        <f t="shared" si="0"/>
        <v>0.18</v>
      </c>
      <c r="I4">
        <f t="shared" si="1"/>
        <v>27280</v>
      </c>
      <c r="K4" t="str">
        <f t="shared" si="2"/>
        <v>No</v>
      </c>
    </row>
    <row r="5" spans="1:11" x14ac:dyDescent="0.3">
      <c r="A5" t="str">
        <f>Raw_Data!A5</f>
        <v>C004</v>
      </c>
      <c r="B5">
        <v>16960</v>
      </c>
      <c r="C5">
        <v>26875</v>
      </c>
      <c r="D5">
        <v>12</v>
      </c>
      <c r="E5" s="1">
        <v>0.21</v>
      </c>
      <c r="F5">
        <v>20</v>
      </c>
      <c r="G5">
        <v>10</v>
      </c>
      <c r="H5">
        <f t="shared" si="0"/>
        <v>0.21</v>
      </c>
      <c r="I5">
        <f t="shared" si="1"/>
        <v>26875</v>
      </c>
      <c r="K5" t="str">
        <f t="shared" si="2"/>
        <v>No</v>
      </c>
    </row>
    <row r="6" spans="1:11" x14ac:dyDescent="0.3">
      <c r="A6" t="str">
        <f>Raw_Data!A6</f>
        <v>C005</v>
      </c>
      <c r="B6">
        <v>30841</v>
      </c>
      <c r="C6">
        <v>7986</v>
      </c>
      <c r="D6">
        <v>2</v>
      </c>
      <c r="E6" s="1">
        <v>0.12</v>
      </c>
      <c r="F6">
        <v>5</v>
      </c>
      <c r="G6">
        <v>9</v>
      </c>
      <c r="H6">
        <f t="shared" si="0"/>
        <v>0.12</v>
      </c>
      <c r="I6">
        <f t="shared" si="1"/>
        <v>7986</v>
      </c>
      <c r="K6" t="str">
        <f t="shared" si="2"/>
        <v>No</v>
      </c>
    </row>
    <row r="7" spans="1:11" x14ac:dyDescent="0.3">
      <c r="A7" t="str">
        <f>Raw_Data!A7</f>
        <v>C006</v>
      </c>
      <c r="B7">
        <v>25139</v>
      </c>
      <c r="C7">
        <v>19876</v>
      </c>
      <c r="D7">
        <v>30</v>
      </c>
      <c r="E7" s="1" t="s">
        <v>14</v>
      </c>
      <c r="F7">
        <v>15</v>
      </c>
      <c r="G7">
        <v>53</v>
      </c>
      <c r="H7">
        <f t="shared" si="0"/>
        <v>0.12</v>
      </c>
      <c r="I7">
        <f t="shared" si="1"/>
        <v>19876</v>
      </c>
      <c r="K7" t="str">
        <f t="shared" si="2"/>
        <v>No</v>
      </c>
    </row>
    <row r="8" spans="1:11" x14ac:dyDescent="0.3">
      <c r="A8" t="str">
        <f>Raw_Data!A8</f>
        <v>C007</v>
      </c>
      <c r="B8">
        <v>11116</v>
      </c>
      <c r="C8">
        <v>10808</v>
      </c>
      <c r="D8">
        <v>12</v>
      </c>
      <c r="E8" s="1">
        <v>0.25</v>
      </c>
      <c r="F8">
        <v>3</v>
      </c>
      <c r="G8">
        <v>11</v>
      </c>
      <c r="H8">
        <f t="shared" si="0"/>
        <v>0.25</v>
      </c>
      <c r="I8">
        <f t="shared" si="1"/>
        <v>10808</v>
      </c>
      <c r="K8" t="str">
        <f t="shared" si="2"/>
        <v>No</v>
      </c>
    </row>
    <row r="9" spans="1:11" x14ac:dyDescent="0.3">
      <c r="A9" t="str">
        <f>Raw_Data!A9</f>
        <v>C008</v>
      </c>
      <c r="B9">
        <v>44869</v>
      </c>
      <c r="C9">
        <v>16868</v>
      </c>
      <c r="D9">
        <v>22</v>
      </c>
      <c r="E9" s="1">
        <v>0.24</v>
      </c>
      <c r="F9">
        <v>3</v>
      </c>
      <c r="G9">
        <v>38</v>
      </c>
      <c r="H9">
        <f t="shared" si="0"/>
        <v>0.24</v>
      </c>
      <c r="I9">
        <f t="shared" si="1"/>
        <v>16868</v>
      </c>
      <c r="K9" t="str">
        <f t="shared" si="2"/>
        <v>No</v>
      </c>
    </row>
    <row r="10" spans="1:11" x14ac:dyDescent="0.3">
      <c r="A10" t="str">
        <f>Raw_Data!A10</f>
        <v>C009</v>
      </c>
      <c r="B10">
        <v>40105</v>
      </c>
      <c r="C10">
        <v>2256</v>
      </c>
      <c r="D10">
        <v>6</v>
      </c>
      <c r="E10" s="1">
        <v>0.25</v>
      </c>
      <c r="F10">
        <v>20</v>
      </c>
      <c r="G10">
        <v>57</v>
      </c>
      <c r="H10">
        <f t="shared" si="0"/>
        <v>0.25</v>
      </c>
      <c r="I10">
        <f t="shared" si="1"/>
        <v>2256</v>
      </c>
      <c r="K10" t="str">
        <f t="shared" si="2"/>
        <v>No</v>
      </c>
    </row>
    <row r="11" spans="1:11" x14ac:dyDescent="0.3">
      <c r="A11" t="str">
        <f>Raw_Data!A11</f>
        <v>C010</v>
      </c>
      <c r="B11">
        <v>48507</v>
      </c>
      <c r="C11">
        <v>7943</v>
      </c>
      <c r="D11">
        <v>20</v>
      </c>
      <c r="E11" s="1">
        <v>0.17</v>
      </c>
      <c r="F11">
        <v>6</v>
      </c>
      <c r="G11">
        <v>39</v>
      </c>
      <c r="H11">
        <f t="shared" si="0"/>
        <v>0.17</v>
      </c>
      <c r="I11">
        <f t="shared" si="1"/>
        <v>7943</v>
      </c>
      <c r="K11" t="str">
        <f t="shared" si="2"/>
        <v>Yes</v>
      </c>
    </row>
    <row r="12" spans="1:11" x14ac:dyDescent="0.3">
      <c r="A12" t="str">
        <f>Raw_Data!A12</f>
        <v>C011</v>
      </c>
      <c r="B12">
        <v>12530</v>
      </c>
      <c r="C12">
        <v>23509</v>
      </c>
      <c r="D12">
        <v>4</v>
      </c>
      <c r="E12" s="1">
        <v>0.3</v>
      </c>
      <c r="F12">
        <v>16</v>
      </c>
      <c r="G12">
        <v>58</v>
      </c>
      <c r="H12">
        <f t="shared" si="0"/>
        <v>0.3</v>
      </c>
      <c r="I12">
        <f t="shared" si="1"/>
        <v>23509</v>
      </c>
      <c r="K12" t="str">
        <f t="shared" si="2"/>
        <v>No</v>
      </c>
    </row>
    <row r="13" spans="1:11" x14ac:dyDescent="0.3">
      <c r="A13" t="str">
        <f>Raw_Data!A13</f>
        <v>C012</v>
      </c>
      <c r="B13">
        <v>13702</v>
      </c>
      <c r="C13">
        <v>24076</v>
      </c>
      <c r="D13">
        <v>6</v>
      </c>
      <c r="E13" s="1" t="s">
        <v>21</v>
      </c>
      <c r="F13">
        <v>11</v>
      </c>
      <c r="G13">
        <v>2</v>
      </c>
      <c r="H13">
        <f t="shared" si="0"/>
        <v>0.06</v>
      </c>
      <c r="I13">
        <f t="shared" si="1"/>
        <v>24076</v>
      </c>
      <c r="K13" t="str">
        <f t="shared" si="2"/>
        <v>No</v>
      </c>
    </row>
    <row r="14" spans="1:11" x14ac:dyDescent="0.3">
      <c r="A14" t="str">
        <f>Raw_Data!A14</f>
        <v>C013</v>
      </c>
      <c r="B14">
        <v>49946</v>
      </c>
      <c r="C14">
        <v>22297</v>
      </c>
      <c r="D14">
        <v>6</v>
      </c>
      <c r="E14" s="1" t="s">
        <v>23</v>
      </c>
      <c r="F14">
        <v>2</v>
      </c>
      <c r="G14">
        <v>72</v>
      </c>
      <c r="H14">
        <f t="shared" si="0"/>
        <v>0.21</v>
      </c>
      <c r="I14">
        <f t="shared" si="1"/>
        <v>22297</v>
      </c>
      <c r="K14" t="str">
        <f t="shared" si="2"/>
        <v>Yes</v>
      </c>
    </row>
    <row r="15" spans="1:11" x14ac:dyDescent="0.3">
      <c r="A15" t="str">
        <f>Raw_Data!A15</f>
        <v>C014</v>
      </c>
      <c r="B15">
        <v>2841</v>
      </c>
      <c r="C15">
        <v>5160</v>
      </c>
      <c r="D15">
        <v>20</v>
      </c>
      <c r="E15" s="1">
        <v>0.14000000000000001</v>
      </c>
      <c r="F15">
        <v>19</v>
      </c>
      <c r="G15">
        <v>50</v>
      </c>
      <c r="H15">
        <f t="shared" si="0"/>
        <v>0.14000000000000001</v>
      </c>
      <c r="I15">
        <f t="shared" si="1"/>
        <v>5160</v>
      </c>
      <c r="K15" t="str">
        <f t="shared" si="2"/>
        <v>No</v>
      </c>
    </row>
    <row r="16" spans="1:11" x14ac:dyDescent="0.3">
      <c r="A16" t="str">
        <f>Raw_Data!A16</f>
        <v>C015</v>
      </c>
      <c r="B16">
        <v>24430</v>
      </c>
      <c r="C16">
        <v>19343</v>
      </c>
      <c r="D16">
        <v>26</v>
      </c>
      <c r="E16" s="1" t="s">
        <v>26</v>
      </c>
      <c r="F16">
        <v>15</v>
      </c>
      <c r="G16">
        <v>19</v>
      </c>
      <c r="H16">
        <f t="shared" si="0"/>
        <v>0.19</v>
      </c>
      <c r="I16">
        <f t="shared" si="1"/>
        <v>19343</v>
      </c>
      <c r="K16" t="str">
        <f t="shared" si="2"/>
        <v>No</v>
      </c>
    </row>
    <row r="17" spans="1:11" x14ac:dyDescent="0.3">
      <c r="A17" t="str">
        <f>Raw_Data!A17</f>
        <v>C016</v>
      </c>
      <c r="B17">
        <v>43130</v>
      </c>
      <c r="C17">
        <v>21994</v>
      </c>
      <c r="D17">
        <v>23</v>
      </c>
      <c r="E17" s="1">
        <v>0.13</v>
      </c>
      <c r="F17">
        <v>14</v>
      </c>
      <c r="G17">
        <v>44</v>
      </c>
      <c r="H17">
        <f t="shared" si="0"/>
        <v>0.13</v>
      </c>
      <c r="I17">
        <f t="shared" si="1"/>
        <v>21994</v>
      </c>
      <c r="K17" t="str">
        <f t="shared" si="2"/>
        <v>No</v>
      </c>
    </row>
    <row r="18" spans="1:11" x14ac:dyDescent="0.3">
      <c r="A18" t="str">
        <f>Raw_Data!A18</f>
        <v>C017</v>
      </c>
      <c r="B18">
        <v>41312</v>
      </c>
      <c r="C18">
        <v>15974</v>
      </c>
      <c r="D18">
        <v>1</v>
      </c>
      <c r="E18" s="1">
        <v>0.13</v>
      </c>
      <c r="F18">
        <v>9</v>
      </c>
      <c r="G18">
        <v>30</v>
      </c>
      <c r="H18">
        <f t="shared" si="0"/>
        <v>0.13</v>
      </c>
      <c r="I18">
        <f t="shared" si="1"/>
        <v>15974</v>
      </c>
      <c r="K18" t="str">
        <f t="shared" si="2"/>
        <v>No</v>
      </c>
    </row>
    <row r="19" spans="1:11" x14ac:dyDescent="0.3">
      <c r="A19" t="str">
        <f>Raw_Data!A19</f>
        <v>C018</v>
      </c>
      <c r="B19">
        <v>43466</v>
      </c>
      <c r="C19">
        <v>19122</v>
      </c>
      <c r="D19">
        <v>5</v>
      </c>
      <c r="E19" s="1" t="s">
        <v>30</v>
      </c>
      <c r="F19">
        <v>0</v>
      </c>
      <c r="G19">
        <v>11</v>
      </c>
      <c r="H19">
        <f t="shared" si="0"/>
        <v>0.13</v>
      </c>
      <c r="I19">
        <f t="shared" si="1"/>
        <v>19122</v>
      </c>
      <c r="K19" t="str">
        <f t="shared" si="2"/>
        <v>No</v>
      </c>
    </row>
    <row r="20" spans="1:11" x14ac:dyDescent="0.3">
      <c r="A20" t="str">
        <f>Raw_Data!A20</f>
        <v>C019</v>
      </c>
      <c r="B20">
        <v>6420</v>
      </c>
      <c r="C20">
        <v>14730</v>
      </c>
      <c r="D20">
        <v>30</v>
      </c>
      <c r="E20" s="1">
        <v>0.02</v>
      </c>
      <c r="F20">
        <v>8</v>
      </c>
      <c r="G20">
        <v>57</v>
      </c>
      <c r="H20">
        <f t="shared" si="0"/>
        <v>0.02</v>
      </c>
      <c r="I20">
        <f t="shared" si="1"/>
        <v>14730</v>
      </c>
      <c r="K20" t="str">
        <f t="shared" si="2"/>
        <v>No</v>
      </c>
    </row>
    <row r="21" spans="1:11" x14ac:dyDescent="0.3">
      <c r="A21" t="str">
        <f>Raw_Data!A21</f>
        <v>C020</v>
      </c>
      <c r="B21">
        <v>38243</v>
      </c>
      <c r="C21">
        <v>7779</v>
      </c>
      <c r="D21">
        <v>9</v>
      </c>
      <c r="E21" s="1" t="s">
        <v>21</v>
      </c>
      <c r="F21">
        <v>14</v>
      </c>
      <c r="G21">
        <v>1</v>
      </c>
      <c r="H21">
        <f t="shared" si="0"/>
        <v>0.06</v>
      </c>
      <c r="I21">
        <f t="shared" si="1"/>
        <v>7779</v>
      </c>
      <c r="K21" t="str">
        <f t="shared" si="2"/>
        <v>No</v>
      </c>
    </row>
    <row r="22" spans="1:11" x14ac:dyDescent="0.3">
      <c r="A22" t="str">
        <f>Raw_Data!A22</f>
        <v>C021</v>
      </c>
      <c r="B22">
        <v>47981</v>
      </c>
      <c r="C22">
        <v>12177</v>
      </c>
      <c r="D22">
        <v>2</v>
      </c>
      <c r="E22" s="1">
        <v>0.25</v>
      </c>
      <c r="F22">
        <v>17</v>
      </c>
      <c r="G22">
        <v>69</v>
      </c>
      <c r="H22">
        <f t="shared" si="0"/>
        <v>0.25</v>
      </c>
      <c r="I22">
        <f t="shared" si="1"/>
        <v>12177</v>
      </c>
      <c r="K22" t="str">
        <f t="shared" si="2"/>
        <v>No</v>
      </c>
    </row>
    <row r="23" spans="1:11" x14ac:dyDescent="0.3">
      <c r="A23" t="str">
        <f>Raw_Data!A23</f>
        <v>C022</v>
      </c>
      <c r="B23">
        <v>48072</v>
      </c>
      <c r="C23">
        <v>27827</v>
      </c>
      <c r="D23">
        <v>28</v>
      </c>
      <c r="E23" s="1" t="s">
        <v>35</v>
      </c>
      <c r="F23">
        <v>1</v>
      </c>
      <c r="G23">
        <v>6</v>
      </c>
      <c r="H23">
        <f t="shared" si="0"/>
        <v>0.3</v>
      </c>
      <c r="I23">
        <f t="shared" si="1"/>
        <v>27827</v>
      </c>
      <c r="K23" t="str">
        <f t="shared" si="2"/>
        <v>No</v>
      </c>
    </row>
    <row r="24" spans="1:11" x14ac:dyDescent="0.3">
      <c r="A24" t="str">
        <f>Raw_Data!A24</f>
        <v>C023</v>
      </c>
      <c r="B24">
        <v>2729</v>
      </c>
      <c r="C24">
        <v>28066</v>
      </c>
      <c r="D24">
        <v>12</v>
      </c>
      <c r="E24" s="1">
        <v>0.18</v>
      </c>
      <c r="F24">
        <v>15</v>
      </c>
      <c r="G24">
        <v>71</v>
      </c>
      <c r="H24">
        <f t="shared" si="0"/>
        <v>0.18</v>
      </c>
      <c r="I24">
        <f t="shared" si="1"/>
        <v>28066</v>
      </c>
      <c r="K24" t="str">
        <f t="shared" si="2"/>
        <v>No</v>
      </c>
    </row>
    <row r="25" spans="1:11" x14ac:dyDescent="0.3">
      <c r="A25" t="str">
        <f>Raw_Data!A25</f>
        <v>C024</v>
      </c>
      <c r="B25">
        <v>48456</v>
      </c>
      <c r="C25">
        <v>29990</v>
      </c>
      <c r="D25">
        <v>24</v>
      </c>
      <c r="E25" s="1">
        <v>0.19</v>
      </c>
      <c r="F25">
        <v>0</v>
      </c>
      <c r="G25">
        <v>27</v>
      </c>
      <c r="H25">
        <f t="shared" si="0"/>
        <v>0.19</v>
      </c>
      <c r="I25">
        <f t="shared" si="1"/>
        <v>29990</v>
      </c>
      <c r="K25" t="str">
        <f t="shared" si="2"/>
        <v>Yes</v>
      </c>
    </row>
    <row r="26" spans="1:11" x14ac:dyDescent="0.3">
      <c r="A26" t="str">
        <f>Raw_Data!A26</f>
        <v>C025</v>
      </c>
      <c r="B26">
        <v>42662</v>
      </c>
      <c r="C26">
        <v>22929</v>
      </c>
      <c r="D26">
        <v>21</v>
      </c>
      <c r="E26" s="1">
        <v>0.19</v>
      </c>
      <c r="F26">
        <v>3</v>
      </c>
      <c r="G26">
        <v>14</v>
      </c>
      <c r="H26">
        <f t="shared" si="0"/>
        <v>0.19</v>
      </c>
      <c r="I26">
        <f t="shared" si="1"/>
        <v>22929</v>
      </c>
      <c r="K26" t="str">
        <f t="shared" si="2"/>
        <v>No</v>
      </c>
    </row>
    <row r="27" spans="1:11" x14ac:dyDescent="0.3">
      <c r="A27" t="str">
        <f>Raw_Data!A27</f>
        <v>C026</v>
      </c>
      <c r="B27">
        <v>35379</v>
      </c>
      <c r="C27">
        <v>11518</v>
      </c>
      <c r="D27">
        <v>7</v>
      </c>
      <c r="E27" s="1" t="s">
        <v>40</v>
      </c>
      <c r="F27">
        <v>19</v>
      </c>
      <c r="G27">
        <v>38</v>
      </c>
      <c r="H27">
        <f t="shared" si="0"/>
        <v>7.0000000000000007E-2</v>
      </c>
      <c r="I27">
        <f t="shared" si="1"/>
        <v>11518</v>
      </c>
      <c r="K27" t="str">
        <f t="shared" si="2"/>
        <v>No</v>
      </c>
    </row>
    <row r="28" spans="1:11" x14ac:dyDescent="0.3">
      <c r="A28" t="str">
        <f>Raw_Data!A28</f>
        <v>C027</v>
      </c>
      <c r="B28">
        <v>38190</v>
      </c>
      <c r="C28">
        <v>22035</v>
      </c>
      <c r="D28">
        <v>11</v>
      </c>
      <c r="E28" s="1">
        <v>7.0000000000000007E-2</v>
      </c>
      <c r="F28">
        <v>3</v>
      </c>
      <c r="G28">
        <v>10</v>
      </c>
      <c r="H28">
        <f t="shared" si="0"/>
        <v>7.0000000000000007E-2</v>
      </c>
      <c r="I28">
        <f t="shared" si="1"/>
        <v>22035</v>
      </c>
      <c r="K28" t="str">
        <f t="shared" si="2"/>
        <v>No</v>
      </c>
    </row>
    <row r="29" spans="1:11" x14ac:dyDescent="0.3">
      <c r="A29" t="str">
        <f>Raw_Data!A29</f>
        <v>C028</v>
      </c>
      <c r="B29">
        <v>31980</v>
      </c>
      <c r="C29">
        <v>2145</v>
      </c>
      <c r="D29">
        <v>24</v>
      </c>
      <c r="E29" s="1">
        <v>0.17</v>
      </c>
      <c r="F29">
        <v>1</v>
      </c>
      <c r="G29">
        <v>48</v>
      </c>
      <c r="H29">
        <f t="shared" si="0"/>
        <v>0.17</v>
      </c>
      <c r="I29">
        <f t="shared" si="1"/>
        <v>2145</v>
      </c>
      <c r="K29" t="str">
        <f t="shared" si="2"/>
        <v>No</v>
      </c>
    </row>
    <row r="30" spans="1:11" x14ac:dyDescent="0.3">
      <c r="A30" t="str">
        <f>Raw_Data!A30</f>
        <v>C029</v>
      </c>
      <c r="B30">
        <v>33508</v>
      </c>
      <c r="C30">
        <v>7252</v>
      </c>
      <c r="D30">
        <v>27</v>
      </c>
      <c r="E30" s="1" t="s">
        <v>44</v>
      </c>
      <c r="F30">
        <v>14</v>
      </c>
      <c r="G30">
        <v>16</v>
      </c>
      <c r="H30">
        <f t="shared" si="0"/>
        <v>0.03</v>
      </c>
      <c r="I30">
        <f t="shared" si="1"/>
        <v>7252</v>
      </c>
      <c r="K30" t="str">
        <f t="shared" si="2"/>
        <v>No</v>
      </c>
    </row>
    <row r="31" spans="1:11" x14ac:dyDescent="0.3">
      <c r="A31" t="str">
        <f>Raw_Data!A31</f>
        <v>C030</v>
      </c>
      <c r="B31">
        <v>31918</v>
      </c>
      <c r="C31" t="s">
        <v>46</v>
      </c>
      <c r="D31">
        <v>9</v>
      </c>
      <c r="E31" s="1" t="s">
        <v>47</v>
      </c>
      <c r="F31">
        <v>20</v>
      </c>
      <c r="G31">
        <v>55</v>
      </c>
      <c r="H31">
        <f t="shared" si="0"/>
        <v>0.24</v>
      </c>
      <c r="I31">
        <f t="shared" si="1"/>
        <v>16549</v>
      </c>
      <c r="K31" t="str">
        <f t="shared" si="2"/>
        <v>No</v>
      </c>
    </row>
    <row r="32" spans="1:11" x14ac:dyDescent="0.3">
      <c r="A32" t="str">
        <f>Raw_Data!A32</f>
        <v>C031</v>
      </c>
      <c r="B32">
        <v>21796</v>
      </c>
      <c r="C32">
        <v>24046</v>
      </c>
      <c r="D32">
        <v>20</v>
      </c>
      <c r="E32" s="1" t="s">
        <v>9</v>
      </c>
      <c r="F32">
        <v>18</v>
      </c>
      <c r="G32">
        <v>54</v>
      </c>
      <c r="H32">
        <f t="shared" si="0"/>
        <v>0.15</v>
      </c>
      <c r="I32">
        <f t="shared" si="1"/>
        <v>24046</v>
      </c>
      <c r="K32" t="str">
        <f t="shared" si="2"/>
        <v>No</v>
      </c>
    </row>
    <row r="33" spans="1:11" x14ac:dyDescent="0.3">
      <c r="A33" t="str">
        <f>Raw_Data!A33</f>
        <v>C032</v>
      </c>
      <c r="B33">
        <v>49521</v>
      </c>
      <c r="C33">
        <v>19342</v>
      </c>
      <c r="D33">
        <v>5</v>
      </c>
      <c r="E33" s="1">
        <v>0.21</v>
      </c>
      <c r="F33">
        <v>8</v>
      </c>
      <c r="G33">
        <v>60</v>
      </c>
      <c r="H33">
        <f t="shared" si="0"/>
        <v>0.21</v>
      </c>
      <c r="I33">
        <f t="shared" si="1"/>
        <v>19342</v>
      </c>
      <c r="K33" t="str">
        <f t="shared" si="2"/>
        <v>Yes</v>
      </c>
    </row>
    <row r="34" spans="1:11" x14ac:dyDescent="0.3">
      <c r="A34" t="str">
        <f>Raw_Data!A34</f>
        <v>C033</v>
      </c>
      <c r="B34">
        <v>24992</v>
      </c>
      <c r="C34">
        <v>6860</v>
      </c>
      <c r="D34">
        <v>25</v>
      </c>
      <c r="E34" s="1" t="s">
        <v>9</v>
      </c>
      <c r="F34">
        <v>15</v>
      </c>
      <c r="G34">
        <v>65</v>
      </c>
      <c r="H34">
        <f t="shared" si="0"/>
        <v>0.15</v>
      </c>
      <c r="I34">
        <f t="shared" si="1"/>
        <v>6860</v>
      </c>
      <c r="K34" t="str">
        <f t="shared" si="2"/>
        <v>No</v>
      </c>
    </row>
    <row r="35" spans="1:11" x14ac:dyDescent="0.3">
      <c r="A35" t="str">
        <f>Raw_Data!A35</f>
        <v>C034</v>
      </c>
      <c r="B35">
        <v>14168</v>
      </c>
      <c r="C35">
        <v>2237</v>
      </c>
      <c r="D35">
        <v>6</v>
      </c>
      <c r="E35" s="1">
        <v>0.25</v>
      </c>
      <c r="F35">
        <v>3</v>
      </c>
      <c r="G35">
        <v>60</v>
      </c>
      <c r="H35">
        <f t="shared" si="0"/>
        <v>0.25</v>
      </c>
      <c r="I35">
        <f t="shared" si="1"/>
        <v>2237</v>
      </c>
      <c r="K35" t="str">
        <f t="shared" si="2"/>
        <v>No</v>
      </c>
    </row>
    <row r="36" spans="1:11" x14ac:dyDescent="0.3">
      <c r="A36" t="str">
        <f>Raw_Data!A36</f>
        <v>C035</v>
      </c>
      <c r="B36">
        <v>13475</v>
      </c>
      <c r="C36">
        <v>3293</v>
      </c>
      <c r="D36">
        <v>9</v>
      </c>
      <c r="E36" s="1">
        <v>0.28999999999999998</v>
      </c>
      <c r="F36">
        <v>17</v>
      </c>
      <c r="G36">
        <v>8</v>
      </c>
      <c r="H36">
        <f t="shared" si="0"/>
        <v>0.28999999999999998</v>
      </c>
      <c r="I36">
        <f t="shared" si="1"/>
        <v>3293</v>
      </c>
      <c r="K36" t="str">
        <f t="shared" si="2"/>
        <v>No</v>
      </c>
    </row>
    <row r="37" spans="1:11" x14ac:dyDescent="0.3">
      <c r="A37" t="str">
        <f>Raw_Data!A37</f>
        <v>C036</v>
      </c>
      <c r="B37">
        <v>29892</v>
      </c>
      <c r="C37">
        <v>28329</v>
      </c>
      <c r="D37">
        <v>14</v>
      </c>
      <c r="E37" s="1" t="s">
        <v>54</v>
      </c>
      <c r="F37">
        <v>2</v>
      </c>
      <c r="G37">
        <v>67</v>
      </c>
      <c r="H37">
        <f t="shared" si="0"/>
        <v>0.08</v>
      </c>
      <c r="I37">
        <f t="shared" si="1"/>
        <v>28329</v>
      </c>
      <c r="K37" t="str">
        <f t="shared" si="2"/>
        <v>No</v>
      </c>
    </row>
    <row r="38" spans="1:11" x14ac:dyDescent="0.3">
      <c r="A38" t="str">
        <f>Raw_Data!A38</f>
        <v>C037</v>
      </c>
      <c r="B38">
        <v>10507</v>
      </c>
      <c r="C38">
        <v>28524</v>
      </c>
      <c r="D38">
        <v>20</v>
      </c>
      <c r="E38" s="1" t="s">
        <v>56</v>
      </c>
      <c r="F38">
        <v>3</v>
      </c>
      <c r="G38">
        <v>30</v>
      </c>
      <c r="H38">
        <f t="shared" si="0"/>
        <v>0.23</v>
      </c>
      <c r="I38">
        <f t="shared" si="1"/>
        <v>28524</v>
      </c>
      <c r="K38" t="str">
        <f t="shared" si="2"/>
        <v>No</v>
      </c>
    </row>
    <row r="39" spans="1:11" x14ac:dyDescent="0.3">
      <c r="A39" t="str">
        <f>Raw_Data!A39</f>
        <v>C038</v>
      </c>
      <c r="B39">
        <v>44476</v>
      </c>
      <c r="C39">
        <v>8811</v>
      </c>
      <c r="D39">
        <v>8</v>
      </c>
      <c r="E39" s="1">
        <v>0.26</v>
      </c>
      <c r="F39">
        <v>10</v>
      </c>
      <c r="G39">
        <v>62</v>
      </c>
      <c r="H39">
        <f t="shared" si="0"/>
        <v>0.26</v>
      </c>
      <c r="I39">
        <f t="shared" si="1"/>
        <v>8811</v>
      </c>
      <c r="K39" t="str">
        <f t="shared" si="2"/>
        <v>No</v>
      </c>
    </row>
    <row r="40" spans="1:11" x14ac:dyDescent="0.3">
      <c r="A40" t="str">
        <f>Raw_Data!A40</f>
        <v>C039</v>
      </c>
      <c r="B40">
        <v>17860</v>
      </c>
      <c r="C40">
        <v>23935</v>
      </c>
      <c r="D40">
        <v>26</v>
      </c>
      <c r="E40" s="1">
        <v>0.05</v>
      </c>
      <c r="F40">
        <v>16</v>
      </c>
      <c r="G40">
        <v>29</v>
      </c>
      <c r="H40">
        <f t="shared" si="0"/>
        <v>0.05</v>
      </c>
      <c r="I40">
        <f t="shared" si="1"/>
        <v>23935</v>
      </c>
      <c r="K40" t="str">
        <f t="shared" si="2"/>
        <v>No</v>
      </c>
    </row>
    <row r="41" spans="1:11" x14ac:dyDescent="0.3">
      <c r="A41" t="str">
        <f>Raw_Data!A41</f>
        <v>C040</v>
      </c>
      <c r="B41">
        <v>16645</v>
      </c>
      <c r="C41">
        <v>29691</v>
      </c>
      <c r="D41">
        <v>8</v>
      </c>
      <c r="E41" s="1" t="s">
        <v>35</v>
      </c>
      <c r="F41">
        <v>13</v>
      </c>
      <c r="G41">
        <v>67</v>
      </c>
      <c r="H41">
        <f t="shared" si="0"/>
        <v>0.3</v>
      </c>
      <c r="I41">
        <f t="shared" si="1"/>
        <v>29691</v>
      </c>
      <c r="K41" t="str">
        <f t="shared" si="2"/>
        <v>No</v>
      </c>
    </row>
    <row r="42" spans="1:11" x14ac:dyDescent="0.3">
      <c r="A42" t="str">
        <f>Raw_Data!A42</f>
        <v>C041</v>
      </c>
      <c r="B42">
        <v>8465</v>
      </c>
      <c r="C42">
        <v>27589</v>
      </c>
      <c r="D42">
        <v>6</v>
      </c>
      <c r="E42" s="1">
        <v>0.06</v>
      </c>
      <c r="F42">
        <v>1</v>
      </c>
      <c r="G42">
        <v>34</v>
      </c>
      <c r="H42">
        <f t="shared" si="0"/>
        <v>0.06</v>
      </c>
      <c r="I42">
        <f t="shared" si="1"/>
        <v>27589</v>
      </c>
      <c r="K42" t="str">
        <f t="shared" si="2"/>
        <v>No</v>
      </c>
    </row>
    <row r="43" spans="1:11" x14ac:dyDescent="0.3">
      <c r="A43" t="str">
        <f>Raw_Data!A43</f>
        <v>C042</v>
      </c>
      <c r="B43">
        <v>43908</v>
      </c>
      <c r="C43">
        <v>24510</v>
      </c>
      <c r="D43">
        <v>25</v>
      </c>
      <c r="E43" s="1" t="s">
        <v>62</v>
      </c>
      <c r="F43">
        <v>19</v>
      </c>
      <c r="G43">
        <v>72</v>
      </c>
      <c r="H43">
        <f t="shared" si="0"/>
        <v>0.17</v>
      </c>
      <c r="I43">
        <f t="shared" si="1"/>
        <v>24510</v>
      </c>
      <c r="K43" t="str">
        <f t="shared" si="2"/>
        <v>No</v>
      </c>
    </row>
    <row r="44" spans="1:11" x14ac:dyDescent="0.3">
      <c r="A44" t="str">
        <f>Raw_Data!A44</f>
        <v>C043</v>
      </c>
      <c r="B44">
        <v>20014</v>
      </c>
      <c r="C44">
        <v>5860</v>
      </c>
      <c r="D44">
        <v>15</v>
      </c>
      <c r="E44" s="1">
        <v>0.17</v>
      </c>
      <c r="F44">
        <v>7</v>
      </c>
      <c r="G44">
        <v>4</v>
      </c>
      <c r="H44">
        <f t="shared" si="0"/>
        <v>0.17</v>
      </c>
      <c r="I44">
        <f t="shared" si="1"/>
        <v>5860</v>
      </c>
      <c r="K44" t="str">
        <f t="shared" si="2"/>
        <v>No</v>
      </c>
    </row>
    <row r="45" spans="1:11" x14ac:dyDescent="0.3">
      <c r="A45" t="str">
        <f>Raw_Data!A45</f>
        <v>C044</v>
      </c>
      <c r="B45">
        <v>9133</v>
      </c>
      <c r="C45">
        <v>29513</v>
      </c>
      <c r="D45">
        <v>21</v>
      </c>
      <c r="E45" s="1">
        <v>0.3</v>
      </c>
      <c r="F45">
        <v>18</v>
      </c>
      <c r="G45">
        <v>61</v>
      </c>
      <c r="H45">
        <f t="shared" si="0"/>
        <v>0.3</v>
      </c>
      <c r="I45">
        <f t="shared" si="1"/>
        <v>29513</v>
      </c>
      <c r="K45" t="str">
        <f t="shared" si="2"/>
        <v>No</v>
      </c>
    </row>
    <row r="46" spans="1:11" x14ac:dyDescent="0.3">
      <c r="A46" t="str">
        <f>Raw_Data!A46</f>
        <v>C045</v>
      </c>
      <c r="B46">
        <v>21037</v>
      </c>
      <c r="C46">
        <v>15022</v>
      </c>
      <c r="D46">
        <v>12</v>
      </c>
      <c r="E46" s="1">
        <v>0.01</v>
      </c>
      <c r="F46">
        <v>6</v>
      </c>
      <c r="G46">
        <v>44</v>
      </c>
      <c r="H46">
        <f t="shared" si="0"/>
        <v>0.01</v>
      </c>
      <c r="I46">
        <f t="shared" si="1"/>
        <v>15022</v>
      </c>
      <c r="K46" t="str">
        <f t="shared" si="2"/>
        <v>No</v>
      </c>
    </row>
    <row r="47" spans="1:11" x14ac:dyDescent="0.3">
      <c r="A47" t="str">
        <f>Raw_Data!A47</f>
        <v>C046</v>
      </c>
      <c r="B47">
        <v>37702</v>
      </c>
      <c r="C47">
        <v>5541</v>
      </c>
      <c r="D47">
        <v>17</v>
      </c>
      <c r="E47" s="1" t="s">
        <v>54</v>
      </c>
      <c r="F47">
        <v>4</v>
      </c>
      <c r="G47">
        <v>52</v>
      </c>
      <c r="H47">
        <f t="shared" si="0"/>
        <v>0.08</v>
      </c>
      <c r="I47">
        <f t="shared" si="1"/>
        <v>5541</v>
      </c>
      <c r="K47" t="str">
        <f t="shared" si="2"/>
        <v>No</v>
      </c>
    </row>
    <row r="48" spans="1:11" x14ac:dyDescent="0.3">
      <c r="A48" t="str">
        <f>Raw_Data!A48</f>
        <v>C047</v>
      </c>
      <c r="B48">
        <v>15213</v>
      </c>
      <c r="C48" t="s">
        <v>46</v>
      </c>
      <c r="D48">
        <v>11</v>
      </c>
      <c r="E48" s="1">
        <v>0.05</v>
      </c>
      <c r="F48">
        <v>0</v>
      </c>
      <c r="G48">
        <v>69</v>
      </c>
      <c r="H48">
        <f t="shared" si="0"/>
        <v>0.05</v>
      </c>
      <c r="I48">
        <f t="shared" si="1"/>
        <v>16549</v>
      </c>
      <c r="K48" t="str">
        <f t="shared" si="2"/>
        <v>No</v>
      </c>
    </row>
    <row r="49" spans="1:11" x14ac:dyDescent="0.3">
      <c r="A49" t="str">
        <f>Raw_Data!A49</f>
        <v>C048</v>
      </c>
      <c r="B49">
        <v>38465</v>
      </c>
      <c r="C49" t="s">
        <v>46</v>
      </c>
      <c r="D49">
        <v>2</v>
      </c>
      <c r="E49" s="1" t="s">
        <v>69</v>
      </c>
      <c r="F49">
        <v>0</v>
      </c>
      <c r="G49">
        <v>12</v>
      </c>
      <c r="H49">
        <f t="shared" si="0"/>
        <v>0.25</v>
      </c>
      <c r="I49">
        <f t="shared" si="1"/>
        <v>16549</v>
      </c>
      <c r="K49" t="str">
        <f t="shared" si="2"/>
        <v>No</v>
      </c>
    </row>
    <row r="50" spans="1:11" x14ac:dyDescent="0.3">
      <c r="A50" t="str">
        <f>Raw_Data!A50</f>
        <v>C049</v>
      </c>
      <c r="B50">
        <v>40964</v>
      </c>
      <c r="C50">
        <v>7316</v>
      </c>
      <c r="D50">
        <v>27</v>
      </c>
      <c r="E50" s="1">
        <v>0.3</v>
      </c>
      <c r="F50">
        <v>15</v>
      </c>
      <c r="G50">
        <v>45</v>
      </c>
      <c r="H50">
        <f t="shared" si="0"/>
        <v>0.3</v>
      </c>
      <c r="I50">
        <f t="shared" si="1"/>
        <v>7316</v>
      </c>
      <c r="K50" t="str">
        <f t="shared" si="2"/>
        <v>No</v>
      </c>
    </row>
    <row r="51" spans="1:11" x14ac:dyDescent="0.3">
      <c r="A51" t="str">
        <f>Raw_Data!A51</f>
        <v>C050</v>
      </c>
      <c r="B51">
        <v>3354</v>
      </c>
      <c r="C51">
        <v>26453</v>
      </c>
      <c r="D51">
        <v>5</v>
      </c>
      <c r="E51" s="1" t="s">
        <v>72</v>
      </c>
      <c r="F51">
        <v>2</v>
      </c>
      <c r="G51">
        <v>55</v>
      </c>
      <c r="H51">
        <f t="shared" si="0"/>
        <v>0.1</v>
      </c>
      <c r="I51">
        <f t="shared" si="1"/>
        <v>26453</v>
      </c>
      <c r="K51" t="str">
        <f t="shared" si="2"/>
        <v>No</v>
      </c>
    </row>
    <row r="52" spans="1:11" x14ac:dyDescent="0.3">
      <c r="A52" t="str">
        <f>Raw_Data!A52</f>
        <v>C051</v>
      </c>
      <c r="B52">
        <v>39754</v>
      </c>
      <c r="C52">
        <v>17071</v>
      </c>
      <c r="D52">
        <v>7</v>
      </c>
      <c r="E52" s="1">
        <v>0.19</v>
      </c>
      <c r="F52">
        <v>10</v>
      </c>
      <c r="G52">
        <v>65</v>
      </c>
      <c r="H52">
        <f t="shared" si="0"/>
        <v>0.19</v>
      </c>
      <c r="I52">
        <f t="shared" si="1"/>
        <v>17071</v>
      </c>
      <c r="K52" t="str">
        <f t="shared" si="2"/>
        <v>No</v>
      </c>
    </row>
    <row r="53" spans="1:11" x14ac:dyDescent="0.3">
      <c r="A53" t="str">
        <f>Raw_Data!A53</f>
        <v>C052</v>
      </c>
      <c r="B53">
        <v>9655</v>
      </c>
      <c r="C53">
        <v>9733</v>
      </c>
      <c r="D53">
        <v>24</v>
      </c>
      <c r="E53" s="1">
        <v>0.13</v>
      </c>
      <c r="F53">
        <v>2</v>
      </c>
      <c r="G53">
        <v>46</v>
      </c>
      <c r="H53">
        <f t="shared" si="0"/>
        <v>0.13</v>
      </c>
      <c r="I53">
        <f t="shared" si="1"/>
        <v>9733</v>
      </c>
      <c r="K53" t="str">
        <f t="shared" si="2"/>
        <v>No</v>
      </c>
    </row>
    <row r="54" spans="1:11" x14ac:dyDescent="0.3">
      <c r="A54" t="str">
        <f>Raw_Data!A54</f>
        <v>C053</v>
      </c>
      <c r="B54">
        <v>14600</v>
      </c>
      <c r="C54">
        <v>13535</v>
      </c>
      <c r="D54">
        <v>17</v>
      </c>
      <c r="E54" s="1" t="s">
        <v>30</v>
      </c>
      <c r="F54">
        <v>16</v>
      </c>
      <c r="G54">
        <v>14</v>
      </c>
      <c r="H54">
        <f t="shared" si="0"/>
        <v>0.13</v>
      </c>
      <c r="I54">
        <f t="shared" si="1"/>
        <v>13535</v>
      </c>
      <c r="K54" t="str">
        <f t="shared" si="2"/>
        <v>No</v>
      </c>
    </row>
    <row r="55" spans="1:11" x14ac:dyDescent="0.3">
      <c r="A55" t="str">
        <f>Raw_Data!A55</f>
        <v>C054</v>
      </c>
      <c r="B55">
        <v>43298</v>
      </c>
      <c r="C55">
        <v>7241</v>
      </c>
      <c r="D55">
        <v>22</v>
      </c>
      <c r="E55" s="1" t="s">
        <v>44</v>
      </c>
      <c r="F55">
        <v>18</v>
      </c>
      <c r="G55">
        <v>30</v>
      </c>
      <c r="H55">
        <f t="shared" si="0"/>
        <v>0.03</v>
      </c>
      <c r="I55">
        <f t="shared" si="1"/>
        <v>7241</v>
      </c>
      <c r="K55" t="str">
        <f t="shared" si="2"/>
        <v>No</v>
      </c>
    </row>
    <row r="56" spans="1:11" x14ac:dyDescent="0.3">
      <c r="A56" t="str">
        <f>Raw_Data!A56</f>
        <v>C055</v>
      </c>
      <c r="B56">
        <v>20624</v>
      </c>
      <c r="C56">
        <v>26135</v>
      </c>
      <c r="D56">
        <v>26</v>
      </c>
      <c r="E56" s="1">
        <v>0.18</v>
      </c>
      <c r="F56">
        <v>20</v>
      </c>
      <c r="G56">
        <v>42</v>
      </c>
      <c r="H56">
        <f t="shared" si="0"/>
        <v>0.18</v>
      </c>
      <c r="I56">
        <f t="shared" si="1"/>
        <v>26135</v>
      </c>
      <c r="K56" t="str">
        <f t="shared" si="2"/>
        <v>No</v>
      </c>
    </row>
    <row r="57" spans="1:11" x14ac:dyDescent="0.3">
      <c r="A57" t="str">
        <f>Raw_Data!A57</f>
        <v>C056</v>
      </c>
      <c r="B57">
        <v>24598</v>
      </c>
      <c r="C57">
        <v>8860</v>
      </c>
      <c r="D57">
        <v>22</v>
      </c>
      <c r="E57" s="1" t="s">
        <v>26</v>
      </c>
      <c r="F57">
        <v>20</v>
      </c>
      <c r="G57">
        <v>35</v>
      </c>
      <c r="H57">
        <f t="shared" si="0"/>
        <v>0.19</v>
      </c>
      <c r="I57">
        <f t="shared" si="1"/>
        <v>8860</v>
      </c>
      <c r="K57" t="str">
        <f t="shared" si="2"/>
        <v>No</v>
      </c>
    </row>
    <row r="58" spans="1:11" x14ac:dyDescent="0.3">
      <c r="A58" t="str">
        <f>Raw_Data!A58</f>
        <v>C057</v>
      </c>
      <c r="B58">
        <v>30928</v>
      </c>
      <c r="C58">
        <v>11129</v>
      </c>
      <c r="D58">
        <v>15</v>
      </c>
      <c r="E58" s="1" t="s">
        <v>35</v>
      </c>
      <c r="F58">
        <v>19</v>
      </c>
      <c r="G58">
        <v>56</v>
      </c>
      <c r="H58">
        <f t="shared" si="0"/>
        <v>0.3</v>
      </c>
      <c r="I58">
        <f t="shared" si="1"/>
        <v>11129</v>
      </c>
      <c r="K58" t="str">
        <f t="shared" si="2"/>
        <v>No</v>
      </c>
    </row>
    <row r="59" spans="1:11" x14ac:dyDescent="0.3">
      <c r="A59" t="str">
        <f>Raw_Data!A59</f>
        <v>C058</v>
      </c>
      <c r="B59">
        <v>5161</v>
      </c>
      <c r="C59" t="s">
        <v>46</v>
      </c>
      <c r="D59">
        <v>25</v>
      </c>
      <c r="E59" s="1" t="s">
        <v>81</v>
      </c>
      <c r="F59">
        <v>9</v>
      </c>
      <c r="G59">
        <v>48</v>
      </c>
      <c r="H59">
        <f t="shared" si="0"/>
        <v>0.28000000000000003</v>
      </c>
      <c r="I59">
        <f t="shared" si="1"/>
        <v>16549</v>
      </c>
      <c r="K59" t="str">
        <f t="shared" si="2"/>
        <v>No</v>
      </c>
    </row>
    <row r="60" spans="1:11" x14ac:dyDescent="0.3">
      <c r="A60" t="str">
        <f>Raw_Data!A60</f>
        <v>C059</v>
      </c>
      <c r="B60">
        <v>44453</v>
      </c>
      <c r="C60">
        <v>11062</v>
      </c>
      <c r="D60">
        <v>15</v>
      </c>
      <c r="E60" s="1">
        <v>0.02</v>
      </c>
      <c r="F60">
        <v>8</v>
      </c>
      <c r="G60">
        <v>22</v>
      </c>
      <c r="H60">
        <f t="shared" si="0"/>
        <v>0.02</v>
      </c>
      <c r="I60">
        <f t="shared" si="1"/>
        <v>11062</v>
      </c>
      <c r="K60" t="str">
        <f t="shared" si="2"/>
        <v>No</v>
      </c>
    </row>
    <row r="61" spans="1:11" x14ac:dyDescent="0.3">
      <c r="A61" t="str">
        <f>Raw_Data!A61</f>
        <v>C060</v>
      </c>
      <c r="B61">
        <v>30775</v>
      </c>
      <c r="C61">
        <v>17693</v>
      </c>
      <c r="D61">
        <v>9</v>
      </c>
      <c r="E61" s="1">
        <v>0.17</v>
      </c>
      <c r="F61">
        <v>8</v>
      </c>
      <c r="G61">
        <v>18</v>
      </c>
      <c r="H61">
        <f t="shared" si="0"/>
        <v>0.17</v>
      </c>
      <c r="I61">
        <f t="shared" si="1"/>
        <v>17693</v>
      </c>
      <c r="K61" t="str">
        <f t="shared" si="2"/>
        <v>No</v>
      </c>
    </row>
    <row r="62" spans="1:11" x14ac:dyDescent="0.3">
      <c r="A62" t="str">
        <f>Raw_Data!A62</f>
        <v>C061</v>
      </c>
      <c r="B62">
        <v>19789</v>
      </c>
      <c r="C62">
        <v>6752</v>
      </c>
      <c r="D62">
        <v>17</v>
      </c>
      <c r="E62" s="1" t="s">
        <v>72</v>
      </c>
      <c r="F62">
        <v>16</v>
      </c>
      <c r="G62">
        <v>4</v>
      </c>
      <c r="H62">
        <f t="shared" si="0"/>
        <v>0.1</v>
      </c>
      <c r="I62">
        <f t="shared" si="1"/>
        <v>6752</v>
      </c>
      <c r="K62" t="str">
        <f t="shared" si="2"/>
        <v>No</v>
      </c>
    </row>
    <row r="63" spans="1:11" x14ac:dyDescent="0.3">
      <c r="A63" t="str">
        <f>Raw_Data!A63</f>
        <v>C062</v>
      </c>
      <c r="B63">
        <v>43255</v>
      </c>
      <c r="C63">
        <v>14529</v>
      </c>
      <c r="D63">
        <v>14</v>
      </c>
      <c r="E63" s="1" t="s">
        <v>86</v>
      </c>
      <c r="F63">
        <v>19</v>
      </c>
      <c r="G63">
        <v>12</v>
      </c>
      <c r="H63">
        <f t="shared" si="0"/>
        <v>0.2</v>
      </c>
      <c r="I63">
        <f t="shared" si="1"/>
        <v>14529</v>
      </c>
      <c r="K63" t="str">
        <f t="shared" si="2"/>
        <v>No</v>
      </c>
    </row>
    <row r="64" spans="1:11" x14ac:dyDescent="0.3">
      <c r="A64" t="str">
        <f>Raw_Data!A64</f>
        <v>C063</v>
      </c>
      <c r="B64">
        <v>4506</v>
      </c>
      <c r="C64">
        <v>21797</v>
      </c>
      <c r="D64">
        <v>28</v>
      </c>
      <c r="E64" s="1">
        <v>0.17</v>
      </c>
      <c r="F64">
        <v>19</v>
      </c>
      <c r="G64">
        <v>35</v>
      </c>
      <c r="H64">
        <f t="shared" si="0"/>
        <v>0.17</v>
      </c>
      <c r="I64">
        <f t="shared" si="1"/>
        <v>21797</v>
      </c>
      <c r="K64" t="str">
        <f t="shared" si="2"/>
        <v>No</v>
      </c>
    </row>
    <row r="65" spans="1:11" x14ac:dyDescent="0.3">
      <c r="A65" t="str">
        <f>Raw_Data!A65</f>
        <v>C064</v>
      </c>
      <c r="B65">
        <v>22342</v>
      </c>
      <c r="C65">
        <v>21828</v>
      </c>
      <c r="D65">
        <v>10</v>
      </c>
      <c r="E65" s="1">
        <v>0.1</v>
      </c>
      <c r="F65">
        <v>5</v>
      </c>
      <c r="G65">
        <v>4</v>
      </c>
      <c r="H65">
        <f t="shared" si="0"/>
        <v>0.1</v>
      </c>
      <c r="I65">
        <f t="shared" si="1"/>
        <v>21828</v>
      </c>
      <c r="K65" t="str">
        <f t="shared" si="2"/>
        <v>No</v>
      </c>
    </row>
    <row r="66" spans="1:11" x14ac:dyDescent="0.3">
      <c r="A66" t="str">
        <f>Raw_Data!A66</f>
        <v>C065</v>
      </c>
      <c r="B66">
        <v>37720</v>
      </c>
      <c r="C66">
        <v>19960</v>
      </c>
      <c r="D66">
        <v>4</v>
      </c>
      <c r="E66" s="1" t="s">
        <v>90</v>
      </c>
      <c r="F66">
        <v>19</v>
      </c>
      <c r="G66">
        <v>41</v>
      </c>
      <c r="H66">
        <f t="shared" si="0"/>
        <v>0.22</v>
      </c>
      <c r="I66">
        <f t="shared" si="1"/>
        <v>19960</v>
      </c>
      <c r="K66" t="str">
        <f t="shared" si="2"/>
        <v>No</v>
      </c>
    </row>
    <row r="67" spans="1:11" x14ac:dyDescent="0.3">
      <c r="A67" t="str">
        <f>Raw_Data!A67</f>
        <v>C066</v>
      </c>
      <c r="B67">
        <v>30383</v>
      </c>
      <c r="C67">
        <v>15094</v>
      </c>
      <c r="D67">
        <v>17</v>
      </c>
      <c r="E67" s="1">
        <v>0.23</v>
      </c>
      <c r="F67">
        <v>14</v>
      </c>
      <c r="G67">
        <v>28</v>
      </c>
      <c r="H67">
        <f t="shared" ref="H67:H130" si="3">IF(ISNUMBER(SEARCH("%",E67)), VALUE(SUBSTITUTE(E67,"%",""))/100, E67)</f>
        <v>0.23</v>
      </c>
      <c r="I67">
        <f t="shared" ref="I67:I130" si="4">IF(C67="", $J$2, C67)</f>
        <v>15094</v>
      </c>
      <c r="K67" t="str">
        <f t="shared" ref="K67:K130" si="5">IF(B67&gt;PERCENTILE($B:$B,0.95),"Yes","No")</f>
        <v>No</v>
      </c>
    </row>
    <row r="68" spans="1:11" x14ac:dyDescent="0.3">
      <c r="A68" t="str">
        <f>Raw_Data!A68</f>
        <v>C067</v>
      </c>
      <c r="B68">
        <v>9858</v>
      </c>
      <c r="C68">
        <v>3881</v>
      </c>
      <c r="D68">
        <v>1</v>
      </c>
      <c r="E68" s="1" t="s">
        <v>93</v>
      </c>
      <c r="F68">
        <v>19</v>
      </c>
      <c r="G68">
        <v>63</v>
      </c>
      <c r="H68">
        <f t="shared" si="3"/>
        <v>0.09</v>
      </c>
      <c r="I68">
        <f t="shared" si="4"/>
        <v>3881</v>
      </c>
      <c r="K68" t="str">
        <f t="shared" si="5"/>
        <v>No</v>
      </c>
    </row>
    <row r="69" spans="1:11" x14ac:dyDescent="0.3">
      <c r="A69" t="str">
        <f>Raw_Data!A69</f>
        <v>C068</v>
      </c>
      <c r="B69">
        <v>48100</v>
      </c>
      <c r="C69">
        <v>27774</v>
      </c>
      <c r="D69">
        <v>17</v>
      </c>
      <c r="E69" s="1">
        <v>0.02</v>
      </c>
      <c r="F69">
        <v>7</v>
      </c>
      <c r="G69">
        <v>44</v>
      </c>
      <c r="H69">
        <f t="shared" si="3"/>
        <v>0.02</v>
      </c>
      <c r="I69">
        <f t="shared" si="4"/>
        <v>27774</v>
      </c>
      <c r="K69" t="str">
        <f t="shared" si="5"/>
        <v>No</v>
      </c>
    </row>
    <row r="70" spans="1:11" x14ac:dyDescent="0.3">
      <c r="A70" t="str">
        <f>Raw_Data!A70</f>
        <v>C069</v>
      </c>
      <c r="B70">
        <v>21859</v>
      </c>
      <c r="C70">
        <v>19192</v>
      </c>
      <c r="D70">
        <v>1</v>
      </c>
      <c r="E70" s="1">
        <v>0.19</v>
      </c>
      <c r="F70">
        <v>13</v>
      </c>
      <c r="G70">
        <v>6</v>
      </c>
      <c r="H70">
        <f t="shared" si="3"/>
        <v>0.19</v>
      </c>
      <c r="I70">
        <f t="shared" si="4"/>
        <v>19192</v>
      </c>
      <c r="K70" t="str">
        <f t="shared" si="5"/>
        <v>No</v>
      </c>
    </row>
    <row r="71" spans="1:11" x14ac:dyDescent="0.3">
      <c r="A71" t="str">
        <f>Raw_Data!A71</f>
        <v>C070</v>
      </c>
      <c r="B71">
        <v>45655</v>
      </c>
      <c r="C71">
        <v>25708</v>
      </c>
      <c r="D71">
        <v>26</v>
      </c>
      <c r="E71" s="1">
        <v>0.17</v>
      </c>
      <c r="F71">
        <v>13</v>
      </c>
      <c r="G71">
        <v>21</v>
      </c>
      <c r="H71">
        <f t="shared" si="3"/>
        <v>0.17</v>
      </c>
      <c r="I71">
        <f t="shared" si="4"/>
        <v>25708</v>
      </c>
      <c r="K71" t="str">
        <f t="shared" si="5"/>
        <v>No</v>
      </c>
    </row>
    <row r="72" spans="1:11" x14ac:dyDescent="0.3">
      <c r="A72" t="str">
        <f>Raw_Data!A72</f>
        <v>C071</v>
      </c>
      <c r="B72">
        <v>27500</v>
      </c>
      <c r="C72">
        <v>14556</v>
      </c>
      <c r="D72">
        <v>7</v>
      </c>
      <c r="E72" s="1">
        <v>7.0000000000000007E-2</v>
      </c>
      <c r="F72">
        <v>20</v>
      </c>
      <c r="G72">
        <v>35</v>
      </c>
      <c r="H72">
        <f t="shared" si="3"/>
        <v>7.0000000000000007E-2</v>
      </c>
      <c r="I72">
        <f t="shared" si="4"/>
        <v>14556</v>
      </c>
      <c r="K72" t="str">
        <f t="shared" si="5"/>
        <v>No</v>
      </c>
    </row>
    <row r="73" spans="1:11" x14ac:dyDescent="0.3">
      <c r="A73" t="str">
        <f>Raw_Data!A73</f>
        <v>C072</v>
      </c>
      <c r="B73">
        <v>14245</v>
      </c>
      <c r="C73">
        <v>5635</v>
      </c>
      <c r="D73">
        <v>22</v>
      </c>
      <c r="E73" s="1">
        <v>0.25</v>
      </c>
      <c r="F73">
        <v>19</v>
      </c>
      <c r="G73">
        <v>19</v>
      </c>
      <c r="H73">
        <f t="shared" si="3"/>
        <v>0.25</v>
      </c>
      <c r="I73">
        <f t="shared" si="4"/>
        <v>5635</v>
      </c>
      <c r="K73" t="str">
        <f t="shared" si="5"/>
        <v>No</v>
      </c>
    </row>
    <row r="74" spans="1:11" x14ac:dyDescent="0.3">
      <c r="A74" t="str">
        <f>Raw_Data!A74</f>
        <v>C073</v>
      </c>
      <c r="B74">
        <v>25665</v>
      </c>
      <c r="C74">
        <v>9918</v>
      </c>
      <c r="D74">
        <v>30</v>
      </c>
      <c r="E74" s="1" t="s">
        <v>100</v>
      </c>
      <c r="F74">
        <v>11</v>
      </c>
      <c r="G74">
        <v>37</v>
      </c>
      <c r="H74">
        <f t="shared" si="3"/>
        <v>0.04</v>
      </c>
      <c r="I74">
        <f t="shared" si="4"/>
        <v>9918</v>
      </c>
      <c r="K74" t="str">
        <f t="shared" si="5"/>
        <v>No</v>
      </c>
    </row>
    <row r="75" spans="1:11" x14ac:dyDescent="0.3">
      <c r="A75" t="str">
        <f>Raw_Data!A75</f>
        <v>C074</v>
      </c>
      <c r="B75">
        <v>14069</v>
      </c>
      <c r="C75">
        <v>13970</v>
      </c>
      <c r="D75">
        <v>26</v>
      </c>
      <c r="E75" s="1" t="s">
        <v>86</v>
      </c>
      <c r="F75">
        <v>11</v>
      </c>
      <c r="G75">
        <v>20</v>
      </c>
      <c r="H75">
        <f t="shared" si="3"/>
        <v>0.2</v>
      </c>
      <c r="I75">
        <f t="shared" si="4"/>
        <v>13970</v>
      </c>
      <c r="K75" t="str">
        <f t="shared" si="5"/>
        <v>No</v>
      </c>
    </row>
    <row r="76" spans="1:11" x14ac:dyDescent="0.3">
      <c r="A76" t="str">
        <f>Raw_Data!A76</f>
        <v>C075</v>
      </c>
      <c r="B76">
        <v>49591</v>
      </c>
      <c r="C76" t="s">
        <v>46</v>
      </c>
      <c r="D76">
        <v>26</v>
      </c>
      <c r="E76" s="1">
        <v>0.15</v>
      </c>
      <c r="F76">
        <v>0</v>
      </c>
      <c r="G76">
        <v>51</v>
      </c>
      <c r="H76">
        <f t="shared" si="3"/>
        <v>0.15</v>
      </c>
      <c r="I76">
        <f t="shared" si="4"/>
        <v>16549</v>
      </c>
      <c r="K76" t="str">
        <f t="shared" si="5"/>
        <v>Yes</v>
      </c>
    </row>
    <row r="77" spans="1:11" x14ac:dyDescent="0.3">
      <c r="A77" t="str">
        <f>Raw_Data!A77</f>
        <v>C076</v>
      </c>
      <c r="B77">
        <v>27050</v>
      </c>
      <c r="C77">
        <v>17324</v>
      </c>
      <c r="D77">
        <v>19</v>
      </c>
      <c r="E77" s="1" t="s">
        <v>47</v>
      </c>
      <c r="F77">
        <v>4</v>
      </c>
      <c r="G77">
        <v>63</v>
      </c>
      <c r="H77">
        <f t="shared" si="3"/>
        <v>0.24</v>
      </c>
      <c r="I77">
        <f t="shared" si="4"/>
        <v>17324</v>
      </c>
      <c r="K77" t="str">
        <f t="shared" si="5"/>
        <v>No</v>
      </c>
    </row>
    <row r="78" spans="1:11" x14ac:dyDescent="0.3">
      <c r="A78" t="str">
        <f>Raw_Data!A78</f>
        <v>C077</v>
      </c>
      <c r="B78">
        <v>38503</v>
      </c>
      <c r="C78">
        <v>8289</v>
      </c>
      <c r="D78">
        <v>24</v>
      </c>
      <c r="E78" s="1" t="s">
        <v>100</v>
      </c>
      <c r="F78">
        <v>4</v>
      </c>
      <c r="G78">
        <v>51</v>
      </c>
      <c r="H78">
        <f t="shared" si="3"/>
        <v>0.04</v>
      </c>
      <c r="I78">
        <f t="shared" si="4"/>
        <v>8289</v>
      </c>
      <c r="K78" t="str">
        <f t="shared" si="5"/>
        <v>No</v>
      </c>
    </row>
    <row r="79" spans="1:11" x14ac:dyDescent="0.3">
      <c r="A79" t="str">
        <f>Raw_Data!A79</f>
        <v>C078</v>
      </c>
      <c r="B79">
        <v>44146</v>
      </c>
      <c r="C79">
        <v>2149</v>
      </c>
      <c r="D79">
        <v>26</v>
      </c>
      <c r="E79" s="1" t="s">
        <v>106</v>
      </c>
      <c r="F79">
        <v>15</v>
      </c>
      <c r="G79">
        <v>29</v>
      </c>
      <c r="H79">
        <f t="shared" si="3"/>
        <v>0.01</v>
      </c>
      <c r="I79">
        <f t="shared" si="4"/>
        <v>2149</v>
      </c>
      <c r="K79" t="str">
        <f t="shared" si="5"/>
        <v>No</v>
      </c>
    </row>
    <row r="80" spans="1:11" x14ac:dyDescent="0.3">
      <c r="A80" t="str">
        <f>Raw_Data!A80</f>
        <v>C079</v>
      </c>
      <c r="B80">
        <v>12841</v>
      </c>
      <c r="C80">
        <v>10690</v>
      </c>
      <c r="D80">
        <v>26</v>
      </c>
      <c r="E80" s="1">
        <v>0.28000000000000003</v>
      </c>
      <c r="F80">
        <v>5</v>
      </c>
      <c r="G80">
        <v>64</v>
      </c>
      <c r="H80">
        <f t="shared" si="3"/>
        <v>0.28000000000000003</v>
      </c>
      <c r="I80">
        <f t="shared" si="4"/>
        <v>10690</v>
      </c>
      <c r="K80" t="str">
        <f t="shared" si="5"/>
        <v>No</v>
      </c>
    </row>
    <row r="81" spans="1:11" x14ac:dyDescent="0.3">
      <c r="A81" t="str">
        <f>Raw_Data!A81</f>
        <v>C080</v>
      </c>
      <c r="B81">
        <v>36268</v>
      </c>
      <c r="C81">
        <v>20247</v>
      </c>
      <c r="D81">
        <v>13</v>
      </c>
      <c r="E81" s="1" t="s">
        <v>69</v>
      </c>
      <c r="F81">
        <v>18</v>
      </c>
      <c r="G81">
        <v>62</v>
      </c>
      <c r="H81">
        <f t="shared" si="3"/>
        <v>0.25</v>
      </c>
      <c r="I81">
        <f t="shared" si="4"/>
        <v>20247</v>
      </c>
      <c r="K81" t="str">
        <f t="shared" si="5"/>
        <v>No</v>
      </c>
    </row>
    <row r="82" spans="1:11" x14ac:dyDescent="0.3">
      <c r="A82" t="str">
        <f>Raw_Data!A82</f>
        <v>C081</v>
      </c>
      <c r="B82">
        <v>48747</v>
      </c>
      <c r="C82">
        <v>25835</v>
      </c>
      <c r="D82">
        <v>27</v>
      </c>
      <c r="E82" s="1">
        <v>0.01</v>
      </c>
      <c r="F82">
        <v>14</v>
      </c>
      <c r="G82">
        <v>49</v>
      </c>
      <c r="H82">
        <f t="shared" si="3"/>
        <v>0.01</v>
      </c>
      <c r="I82">
        <f t="shared" si="4"/>
        <v>25835</v>
      </c>
      <c r="K82" t="str">
        <f t="shared" si="5"/>
        <v>Yes</v>
      </c>
    </row>
    <row r="83" spans="1:11" x14ac:dyDescent="0.3">
      <c r="A83" t="str">
        <f>Raw_Data!A83</f>
        <v>C082</v>
      </c>
      <c r="B83">
        <v>33525</v>
      </c>
      <c r="C83" t="s">
        <v>46</v>
      </c>
      <c r="D83">
        <v>28</v>
      </c>
      <c r="E83" s="1">
        <v>0.26</v>
      </c>
      <c r="F83">
        <v>7</v>
      </c>
      <c r="G83">
        <v>55</v>
      </c>
      <c r="H83">
        <f t="shared" si="3"/>
        <v>0.26</v>
      </c>
      <c r="I83">
        <f t="shared" si="4"/>
        <v>16549</v>
      </c>
      <c r="K83" t="str">
        <f t="shared" si="5"/>
        <v>No</v>
      </c>
    </row>
    <row r="84" spans="1:11" x14ac:dyDescent="0.3">
      <c r="A84" t="str">
        <f>Raw_Data!A84</f>
        <v>C083</v>
      </c>
      <c r="B84">
        <v>7129</v>
      </c>
      <c r="C84" t="s">
        <v>46</v>
      </c>
      <c r="D84">
        <v>14</v>
      </c>
      <c r="E84" s="1">
        <v>0.11</v>
      </c>
      <c r="F84">
        <v>15</v>
      </c>
      <c r="G84">
        <v>59</v>
      </c>
      <c r="H84">
        <f t="shared" si="3"/>
        <v>0.11</v>
      </c>
      <c r="I84">
        <f t="shared" si="4"/>
        <v>16549</v>
      </c>
      <c r="K84" t="str">
        <f t="shared" si="5"/>
        <v>No</v>
      </c>
    </row>
    <row r="85" spans="1:11" x14ac:dyDescent="0.3">
      <c r="A85" t="str">
        <f>Raw_Data!A85</f>
        <v>C084</v>
      </c>
      <c r="B85">
        <v>19255</v>
      </c>
      <c r="C85">
        <v>25596</v>
      </c>
      <c r="D85">
        <v>19</v>
      </c>
      <c r="E85" s="1">
        <v>0.17</v>
      </c>
      <c r="F85">
        <v>8</v>
      </c>
      <c r="G85">
        <v>66</v>
      </c>
      <c r="H85">
        <f t="shared" si="3"/>
        <v>0.17</v>
      </c>
      <c r="I85">
        <f t="shared" si="4"/>
        <v>25596</v>
      </c>
      <c r="K85" t="str">
        <f t="shared" si="5"/>
        <v>No</v>
      </c>
    </row>
    <row r="86" spans="1:11" x14ac:dyDescent="0.3">
      <c r="A86" t="str">
        <f>Raw_Data!A86</f>
        <v>C085</v>
      </c>
      <c r="B86">
        <v>33750</v>
      </c>
      <c r="C86">
        <v>16340</v>
      </c>
      <c r="D86">
        <v>6</v>
      </c>
      <c r="E86" s="1" t="s">
        <v>21</v>
      </c>
      <c r="F86">
        <v>9</v>
      </c>
      <c r="G86">
        <v>57</v>
      </c>
      <c r="H86">
        <f t="shared" si="3"/>
        <v>0.06</v>
      </c>
      <c r="I86">
        <f t="shared" si="4"/>
        <v>16340</v>
      </c>
      <c r="K86" t="str">
        <f t="shared" si="5"/>
        <v>No</v>
      </c>
    </row>
    <row r="87" spans="1:11" x14ac:dyDescent="0.3">
      <c r="A87" t="str">
        <f>Raw_Data!A87</f>
        <v>C086</v>
      </c>
      <c r="B87">
        <v>8672</v>
      </c>
      <c r="C87">
        <v>18165</v>
      </c>
      <c r="D87">
        <v>13</v>
      </c>
      <c r="E87" s="1" t="s">
        <v>47</v>
      </c>
      <c r="F87">
        <v>5</v>
      </c>
      <c r="G87">
        <v>34</v>
      </c>
      <c r="H87">
        <f t="shared" si="3"/>
        <v>0.24</v>
      </c>
      <c r="I87">
        <f t="shared" si="4"/>
        <v>18165</v>
      </c>
      <c r="K87" t="str">
        <f t="shared" si="5"/>
        <v>No</v>
      </c>
    </row>
    <row r="88" spans="1:11" x14ac:dyDescent="0.3">
      <c r="A88" t="str">
        <f>Raw_Data!A88</f>
        <v>C087</v>
      </c>
      <c r="B88">
        <v>5043</v>
      </c>
      <c r="C88">
        <v>16827</v>
      </c>
      <c r="D88">
        <v>11</v>
      </c>
      <c r="E88" s="1">
        <v>0.26</v>
      </c>
      <c r="F88">
        <v>1</v>
      </c>
      <c r="G88">
        <v>45</v>
      </c>
      <c r="H88">
        <f t="shared" si="3"/>
        <v>0.26</v>
      </c>
      <c r="I88">
        <f t="shared" si="4"/>
        <v>16827</v>
      </c>
      <c r="K88" t="str">
        <f t="shared" si="5"/>
        <v>No</v>
      </c>
    </row>
    <row r="89" spans="1:11" x14ac:dyDescent="0.3">
      <c r="A89" t="str">
        <f>Raw_Data!A89</f>
        <v>C088</v>
      </c>
      <c r="B89">
        <v>28951</v>
      </c>
      <c r="C89">
        <v>25720</v>
      </c>
      <c r="D89">
        <v>13</v>
      </c>
      <c r="E89" s="1" t="s">
        <v>35</v>
      </c>
      <c r="F89">
        <v>7</v>
      </c>
      <c r="G89">
        <v>62</v>
      </c>
      <c r="H89">
        <f t="shared" si="3"/>
        <v>0.3</v>
      </c>
      <c r="I89">
        <f t="shared" si="4"/>
        <v>25720</v>
      </c>
      <c r="K89" t="str">
        <f t="shared" si="5"/>
        <v>No</v>
      </c>
    </row>
    <row r="90" spans="1:11" x14ac:dyDescent="0.3">
      <c r="A90" t="str">
        <f>Raw_Data!A90</f>
        <v>C089</v>
      </c>
      <c r="B90">
        <v>41194</v>
      </c>
      <c r="C90">
        <v>16792</v>
      </c>
      <c r="D90">
        <v>5</v>
      </c>
      <c r="E90" s="1" t="s">
        <v>100</v>
      </c>
      <c r="F90">
        <v>14</v>
      </c>
      <c r="G90">
        <v>59</v>
      </c>
      <c r="H90">
        <f t="shared" si="3"/>
        <v>0.04</v>
      </c>
      <c r="I90">
        <f t="shared" si="4"/>
        <v>16792</v>
      </c>
      <c r="K90" t="str">
        <f t="shared" si="5"/>
        <v>No</v>
      </c>
    </row>
    <row r="91" spans="1:11" x14ac:dyDescent="0.3">
      <c r="A91" t="str">
        <f>Raw_Data!A91</f>
        <v>C090</v>
      </c>
      <c r="B91">
        <v>26014</v>
      </c>
      <c r="C91">
        <v>12282</v>
      </c>
      <c r="D91">
        <v>5</v>
      </c>
      <c r="E91" s="1">
        <v>0.08</v>
      </c>
      <c r="F91">
        <v>11</v>
      </c>
      <c r="G91">
        <v>12</v>
      </c>
      <c r="H91">
        <f t="shared" si="3"/>
        <v>0.08</v>
      </c>
      <c r="I91">
        <f t="shared" si="4"/>
        <v>12282</v>
      </c>
      <c r="K91" t="str">
        <f t="shared" si="5"/>
        <v>No</v>
      </c>
    </row>
    <row r="92" spans="1:11" x14ac:dyDescent="0.3">
      <c r="A92" t="str">
        <f>Raw_Data!A92</f>
        <v>C091</v>
      </c>
      <c r="B92">
        <v>49511</v>
      </c>
      <c r="C92">
        <v>3763</v>
      </c>
      <c r="D92">
        <v>30</v>
      </c>
      <c r="E92" s="1" t="s">
        <v>120</v>
      </c>
      <c r="F92">
        <v>7</v>
      </c>
      <c r="G92">
        <v>64</v>
      </c>
      <c r="H92">
        <f t="shared" si="3"/>
        <v>0.02</v>
      </c>
      <c r="I92">
        <f t="shared" si="4"/>
        <v>3763</v>
      </c>
      <c r="K92" t="str">
        <f t="shared" si="5"/>
        <v>Yes</v>
      </c>
    </row>
    <row r="93" spans="1:11" x14ac:dyDescent="0.3">
      <c r="A93" t="str">
        <f>Raw_Data!A93</f>
        <v>C092</v>
      </c>
      <c r="B93">
        <v>26646</v>
      </c>
      <c r="C93">
        <v>6661</v>
      </c>
      <c r="D93">
        <v>26</v>
      </c>
      <c r="E93" s="1">
        <v>0.17</v>
      </c>
      <c r="F93">
        <v>8</v>
      </c>
      <c r="G93">
        <v>22</v>
      </c>
      <c r="H93">
        <f t="shared" si="3"/>
        <v>0.17</v>
      </c>
      <c r="I93">
        <f t="shared" si="4"/>
        <v>6661</v>
      </c>
      <c r="K93" t="str">
        <f t="shared" si="5"/>
        <v>No</v>
      </c>
    </row>
    <row r="94" spans="1:11" x14ac:dyDescent="0.3">
      <c r="A94" t="str">
        <f>Raw_Data!A94</f>
        <v>C093</v>
      </c>
      <c r="B94">
        <v>39234</v>
      </c>
      <c r="C94">
        <v>11465</v>
      </c>
      <c r="D94">
        <v>5</v>
      </c>
      <c r="E94" s="1" t="s">
        <v>123</v>
      </c>
      <c r="F94">
        <v>15</v>
      </c>
      <c r="G94">
        <v>41</v>
      </c>
      <c r="H94">
        <f t="shared" si="3"/>
        <v>0.16</v>
      </c>
      <c r="I94">
        <f t="shared" si="4"/>
        <v>11465</v>
      </c>
      <c r="K94" t="str">
        <f t="shared" si="5"/>
        <v>No</v>
      </c>
    </row>
    <row r="95" spans="1:11" x14ac:dyDescent="0.3">
      <c r="A95" t="str">
        <f>Raw_Data!A95</f>
        <v>C094</v>
      </c>
      <c r="B95">
        <v>7533</v>
      </c>
      <c r="C95">
        <v>26705</v>
      </c>
      <c r="D95">
        <v>4</v>
      </c>
      <c r="E95" s="1">
        <v>0.09</v>
      </c>
      <c r="F95">
        <v>11</v>
      </c>
      <c r="G95">
        <v>13</v>
      </c>
      <c r="H95">
        <f t="shared" si="3"/>
        <v>0.09</v>
      </c>
      <c r="I95">
        <f t="shared" si="4"/>
        <v>26705</v>
      </c>
      <c r="K95" t="str">
        <f t="shared" si="5"/>
        <v>No</v>
      </c>
    </row>
    <row r="96" spans="1:11" x14ac:dyDescent="0.3">
      <c r="A96" t="str">
        <f>Raw_Data!A96</f>
        <v>C095</v>
      </c>
      <c r="B96">
        <v>31527</v>
      </c>
      <c r="C96">
        <v>6038</v>
      </c>
      <c r="D96">
        <v>18</v>
      </c>
      <c r="E96" s="1">
        <v>0.1</v>
      </c>
      <c r="F96">
        <v>12</v>
      </c>
      <c r="G96">
        <v>1</v>
      </c>
      <c r="H96">
        <f t="shared" si="3"/>
        <v>0.1</v>
      </c>
      <c r="I96">
        <f t="shared" si="4"/>
        <v>6038</v>
      </c>
      <c r="K96" t="str">
        <f t="shared" si="5"/>
        <v>No</v>
      </c>
    </row>
    <row r="97" spans="1:11" x14ac:dyDescent="0.3">
      <c r="A97" t="str">
        <f>Raw_Data!A97</f>
        <v>C096</v>
      </c>
      <c r="B97">
        <v>31344</v>
      </c>
      <c r="C97">
        <v>18965</v>
      </c>
      <c r="D97">
        <v>30</v>
      </c>
      <c r="E97" s="1" t="s">
        <v>127</v>
      </c>
      <c r="F97">
        <v>6</v>
      </c>
      <c r="G97">
        <v>45</v>
      </c>
      <c r="H97">
        <f t="shared" si="3"/>
        <v>0.14000000000000001</v>
      </c>
      <c r="I97">
        <f t="shared" si="4"/>
        <v>18965</v>
      </c>
      <c r="K97" t="str">
        <f t="shared" si="5"/>
        <v>No</v>
      </c>
    </row>
    <row r="98" spans="1:11" x14ac:dyDescent="0.3">
      <c r="A98" t="str">
        <f>Raw_Data!A98</f>
        <v>C097</v>
      </c>
      <c r="B98">
        <v>24525</v>
      </c>
      <c r="C98">
        <v>9483</v>
      </c>
      <c r="D98">
        <v>23</v>
      </c>
      <c r="E98" s="1" t="s">
        <v>129</v>
      </c>
      <c r="F98">
        <v>11</v>
      </c>
      <c r="G98">
        <v>53</v>
      </c>
      <c r="H98">
        <f t="shared" si="3"/>
        <v>0.27</v>
      </c>
      <c r="I98">
        <f t="shared" si="4"/>
        <v>9483</v>
      </c>
      <c r="K98" t="str">
        <f t="shared" si="5"/>
        <v>No</v>
      </c>
    </row>
    <row r="99" spans="1:11" x14ac:dyDescent="0.3">
      <c r="A99" t="str">
        <f>Raw_Data!A99</f>
        <v>C098</v>
      </c>
      <c r="B99">
        <v>37554</v>
      </c>
      <c r="C99">
        <v>22882</v>
      </c>
      <c r="D99">
        <v>20</v>
      </c>
      <c r="E99" s="1" t="s">
        <v>86</v>
      </c>
      <c r="F99">
        <v>7</v>
      </c>
      <c r="G99">
        <v>10</v>
      </c>
      <c r="H99">
        <f t="shared" si="3"/>
        <v>0.2</v>
      </c>
      <c r="I99">
        <f t="shared" si="4"/>
        <v>22882</v>
      </c>
      <c r="K99" t="str">
        <f t="shared" si="5"/>
        <v>No</v>
      </c>
    </row>
    <row r="100" spans="1:11" x14ac:dyDescent="0.3">
      <c r="A100" t="str">
        <f>Raw_Data!A100</f>
        <v>C099</v>
      </c>
      <c r="B100">
        <v>40217</v>
      </c>
      <c r="C100">
        <v>26218</v>
      </c>
      <c r="D100">
        <v>11</v>
      </c>
      <c r="E100" s="1">
        <v>0.15</v>
      </c>
      <c r="F100">
        <v>5</v>
      </c>
      <c r="G100">
        <v>56</v>
      </c>
      <c r="H100">
        <f t="shared" si="3"/>
        <v>0.15</v>
      </c>
      <c r="I100">
        <f t="shared" si="4"/>
        <v>26218</v>
      </c>
      <c r="K100" t="str">
        <f t="shared" si="5"/>
        <v>No</v>
      </c>
    </row>
    <row r="101" spans="1:11" x14ac:dyDescent="0.3">
      <c r="A101" t="str">
        <f>Raw_Data!A101</f>
        <v>C100</v>
      </c>
      <c r="B101">
        <v>37270</v>
      </c>
      <c r="C101">
        <v>13913</v>
      </c>
      <c r="D101">
        <v>23</v>
      </c>
      <c r="E101" s="1">
        <v>0.27</v>
      </c>
      <c r="F101">
        <v>1</v>
      </c>
      <c r="G101">
        <v>33</v>
      </c>
      <c r="H101">
        <f t="shared" si="3"/>
        <v>0.27</v>
      </c>
      <c r="I101">
        <f t="shared" si="4"/>
        <v>13913</v>
      </c>
      <c r="K101" t="str">
        <f t="shared" si="5"/>
        <v>No</v>
      </c>
    </row>
    <row r="102" spans="1:11" x14ac:dyDescent="0.3">
      <c r="A102" t="str">
        <f>Raw_Data!A102</f>
        <v>C101</v>
      </c>
      <c r="B102">
        <v>46174</v>
      </c>
      <c r="C102">
        <v>27091</v>
      </c>
      <c r="D102">
        <v>12</v>
      </c>
      <c r="E102" s="1">
        <v>0.28000000000000003</v>
      </c>
      <c r="F102">
        <v>19</v>
      </c>
      <c r="G102">
        <v>10</v>
      </c>
      <c r="H102">
        <f t="shared" si="3"/>
        <v>0.28000000000000003</v>
      </c>
      <c r="I102">
        <f t="shared" si="4"/>
        <v>27091</v>
      </c>
      <c r="K102" t="str">
        <f t="shared" si="5"/>
        <v>No</v>
      </c>
    </row>
    <row r="103" spans="1:11" x14ac:dyDescent="0.3">
      <c r="A103" t="str">
        <f>Raw_Data!A103</f>
        <v>C102</v>
      </c>
      <c r="B103">
        <v>5519</v>
      </c>
      <c r="C103">
        <v>10843</v>
      </c>
      <c r="D103">
        <v>23</v>
      </c>
      <c r="E103" s="1" t="s">
        <v>62</v>
      </c>
      <c r="F103">
        <v>16</v>
      </c>
      <c r="G103">
        <v>11</v>
      </c>
      <c r="H103">
        <f t="shared" si="3"/>
        <v>0.17</v>
      </c>
      <c r="I103">
        <f t="shared" si="4"/>
        <v>10843</v>
      </c>
      <c r="K103" t="str">
        <f t="shared" si="5"/>
        <v>No</v>
      </c>
    </row>
    <row r="104" spans="1:11" x14ac:dyDescent="0.3">
      <c r="A104" t="str">
        <f>Raw_Data!A104</f>
        <v>C103</v>
      </c>
      <c r="B104">
        <v>41152</v>
      </c>
      <c r="C104">
        <v>28530</v>
      </c>
      <c r="D104">
        <v>6</v>
      </c>
      <c r="E104" s="1" t="s">
        <v>129</v>
      </c>
      <c r="F104">
        <v>12</v>
      </c>
      <c r="G104">
        <v>5</v>
      </c>
      <c r="H104">
        <f t="shared" si="3"/>
        <v>0.27</v>
      </c>
      <c r="I104">
        <f t="shared" si="4"/>
        <v>28530</v>
      </c>
      <c r="K104" t="str">
        <f t="shared" si="5"/>
        <v>No</v>
      </c>
    </row>
    <row r="105" spans="1:11" x14ac:dyDescent="0.3">
      <c r="A105" t="str">
        <f>Raw_Data!A105</f>
        <v>C104</v>
      </c>
      <c r="B105">
        <v>13354</v>
      </c>
      <c r="C105">
        <v>5164</v>
      </c>
      <c r="D105">
        <v>29</v>
      </c>
      <c r="E105" s="1">
        <v>0.16</v>
      </c>
      <c r="F105">
        <v>0</v>
      </c>
      <c r="G105">
        <v>65</v>
      </c>
      <c r="H105">
        <f t="shared" si="3"/>
        <v>0.16</v>
      </c>
      <c r="I105">
        <f t="shared" si="4"/>
        <v>5164</v>
      </c>
      <c r="K105" t="str">
        <f t="shared" si="5"/>
        <v>No</v>
      </c>
    </row>
    <row r="106" spans="1:11" x14ac:dyDescent="0.3">
      <c r="A106" t="str">
        <f>Raw_Data!A106</f>
        <v>C105</v>
      </c>
      <c r="B106">
        <v>34921</v>
      </c>
      <c r="C106">
        <v>12026</v>
      </c>
      <c r="D106">
        <v>29</v>
      </c>
      <c r="E106" s="1" t="s">
        <v>120</v>
      </c>
      <c r="F106">
        <v>10</v>
      </c>
      <c r="G106">
        <v>9</v>
      </c>
      <c r="H106">
        <f t="shared" si="3"/>
        <v>0.02</v>
      </c>
      <c r="I106">
        <f t="shared" si="4"/>
        <v>12026</v>
      </c>
      <c r="K106" t="str">
        <f t="shared" si="5"/>
        <v>No</v>
      </c>
    </row>
    <row r="107" spans="1:11" x14ac:dyDescent="0.3">
      <c r="A107" t="str">
        <f>Raw_Data!A107</f>
        <v>C106</v>
      </c>
      <c r="B107">
        <v>45929</v>
      </c>
      <c r="C107">
        <v>19724</v>
      </c>
      <c r="D107">
        <v>18</v>
      </c>
      <c r="E107" s="1">
        <v>0.08</v>
      </c>
      <c r="F107">
        <v>16</v>
      </c>
      <c r="G107">
        <v>65</v>
      </c>
      <c r="H107">
        <f t="shared" si="3"/>
        <v>0.08</v>
      </c>
      <c r="I107">
        <f t="shared" si="4"/>
        <v>19724</v>
      </c>
      <c r="K107" t="str">
        <f t="shared" si="5"/>
        <v>No</v>
      </c>
    </row>
    <row r="108" spans="1:11" x14ac:dyDescent="0.3">
      <c r="A108" t="str">
        <f>Raw_Data!A108</f>
        <v>C107</v>
      </c>
      <c r="B108">
        <v>11812</v>
      </c>
      <c r="C108" t="s">
        <v>46</v>
      </c>
      <c r="D108">
        <v>24</v>
      </c>
      <c r="E108" s="1" t="s">
        <v>69</v>
      </c>
      <c r="F108">
        <v>8</v>
      </c>
      <c r="G108">
        <v>19</v>
      </c>
      <c r="H108">
        <f t="shared" si="3"/>
        <v>0.25</v>
      </c>
      <c r="I108">
        <f t="shared" si="4"/>
        <v>16549</v>
      </c>
      <c r="K108" t="str">
        <f t="shared" si="5"/>
        <v>No</v>
      </c>
    </row>
    <row r="109" spans="1:11" x14ac:dyDescent="0.3">
      <c r="A109" t="str">
        <f>Raw_Data!A109</f>
        <v>C108</v>
      </c>
      <c r="B109">
        <v>28729</v>
      </c>
      <c r="C109">
        <v>18231</v>
      </c>
      <c r="D109">
        <v>24</v>
      </c>
      <c r="E109" s="1" t="s">
        <v>141</v>
      </c>
      <c r="F109">
        <v>3</v>
      </c>
      <c r="G109">
        <v>9</v>
      </c>
      <c r="H109">
        <f t="shared" si="3"/>
        <v>0.26</v>
      </c>
      <c r="I109">
        <f t="shared" si="4"/>
        <v>18231</v>
      </c>
      <c r="K109" t="str">
        <f t="shared" si="5"/>
        <v>No</v>
      </c>
    </row>
    <row r="110" spans="1:11" x14ac:dyDescent="0.3">
      <c r="A110" t="str">
        <f>Raw_Data!A110</f>
        <v>C109</v>
      </c>
      <c r="B110">
        <v>10721</v>
      </c>
      <c r="C110">
        <v>10898</v>
      </c>
      <c r="D110">
        <v>23</v>
      </c>
      <c r="E110" s="1">
        <v>0.27</v>
      </c>
      <c r="F110">
        <v>17</v>
      </c>
      <c r="G110">
        <v>37</v>
      </c>
      <c r="H110">
        <f t="shared" si="3"/>
        <v>0.27</v>
      </c>
      <c r="I110">
        <f t="shared" si="4"/>
        <v>10898</v>
      </c>
      <c r="K110" t="str">
        <f t="shared" si="5"/>
        <v>No</v>
      </c>
    </row>
    <row r="111" spans="1:11" x14ac:dyDescent="0.3">
      <c r="A111" t="str">
        <f>Raw_Data!A111</f>
        <v>C110</v>
      </c>
      <c r="B111">
        <v>15546</v>
      </c>
      <c r="C111">
        <v>29127</v>
      </c>
      <c r="D111">
        <v>8</v>
      </c>
      <c r="E111" s="1" t="s">
        <v>86</v>
      </c>
      <c r="F111">
        <v>18</v>
      </c>
      <c r="G111">
        <v>51</v>
      </c>
      <c r="H111">
        <f t="shared" si="3"/>
        <v>0.2</v>
      </c>
      <c r="I111">
        <f t="shared" si="4"/>
        <v>29127</v>
      </c>
      <c r="K111" t="str">
        <f t="shared" si="5"/>
        <v>No</v>
      </c>
    </row>
    <row r="112" spans="1:11" x14ac:dyDescent="0.3">
      <c r="A112" t="str">
        <f>Raw_Data!A112</f>
        <v>C111</v>
      </c>
      <c r="B112">
        <v>32110</v>
      </c>
      <c r="C112">
        <v>3175</v>
      </c>
      <c r="D112">
        <v>28</v>
      </c>
      <c r="E112" s="1" t="s">
        <v>81</v>
      </c>
      <c r="F112">
        <v>9</v>
      </c>
      <c r="G112">
        <v>54</v>
      </c>
      <c r="H112">
        <f t="shared" si="3"/>
        <v>0.28000000000000003</v>
      </c>
      <c r="I112">
        <f t="shared" si="4"/>
        <v>3175</v>
      </c>
      <c r="K112" t="str">
        <f t="shared" si="5"/>
        <v>No</v>
      </c>
    </row>
    <row r="113" spans="1:11" x14ac:dyDescent="0.3">
      <c r="A113" t="str">
        <f>Raw_Data!A113</f>
        <v>C112</v>
      </c>
      <c r="B113">
        <v>14838</v>
      </c>
      <c r="C113">
        <v>10895</v>
      </c>
      <c r="D113">
        <v>17</v>
      </c>
      <c r="E113" s="1" t="s">
        <v>35</v>
      </c>
      <c r="F113">
        <v>7</v>
      </c>
      <c r="G113">
        <v>66</v>
      </c>
      <c r="H113">
        <f t="shared" si="3"/>
        <v>0.3</v>
      </c>
      <c r="I113">
        <f t="shared" si="4"/>
        <v>10895</v>
      </c>
      <c r="K113" t="str">
        <f t="shared" si="5"/>
        <v>No</v>
      </c>
    </row>
    <row r="114" spans="1:11" x14ac:dyDescent="0.3">
      <c r="A114" t="str">
        <f>Raw_Data!A114</f>
        <v>C113</v>
      </c>
      <c r="B114">
        <v>49218</v>
      </c>
      <c r="C114">
        <v>20666</v>
      </c>
      <c r="D114">
        <v>18</v>
      </c>
      <c r="E114" s="1" t="s">
        <v>147</v>
      </c>
      <c r="F114">
        <v>2</v>
      </c>
      <c r="G114">
        <v>16</v>
      </c>
      <c r="H114">
        <f t="shared" si="3"/>
        <v>0.11</v>
      </c>
      <c r="I114">
        <f t="shared" si="4"/>
        <v>20666</v>
      </c>
      <c r="K114" t="str">
        <f t="shared" si="5"/>
        <v>Yes</v>
      </c>
    </row>
    <row r="115" spans="1:11" x14ac:dyDescent="0.3">
      <c r="A115" t="str">
        <f>Raw_Data!A115</f>
        <v>C114</v>
      </c>
      <c r="B115">
        <v>39243</v>
      </c>
      <c r="C115">
        <v>23117</v>
      </c>
      <c r="D115">
        <v>27</v>
      </c>
      <c r="E115" s="1" t="s">
        <v>149</v>
      </c>
      <c r="F115">
        <v>18</v>
      </c>
      <c r="G115">
        <v>51</v>
      </c>
      <c r="H115">
        <f t="shared" si="3"/>
        <v>0.05</v>
      </c>
      <c r="I115">
        <f t="shared" si="4"/>
        <v>23117</v>
      </c>
      <c r="K115" t="str">
        <f t="shared" si="5"/>
        <v>No</v>
      </c>
    </row>
    <row r="116" spans="1:11" x14ac:dyDescent="0.3">
      <c r="A116" t="str">
        <f>Raw_Data!A116</f>
        <v>C115</v>
      </c>
      <c r="B116">
        <v>38920</v>
      </c>
      <c r="C116">
        <v>15777</v>
      </c>
      <c r="D116">
        <v>22</v>
      </c>
      <c r="E116" s="1">
        <v>0.22</v>
      </c>
      <c r="F116">
        <v>5</v>
      </c>
      <c r="G116">
        <v>52</v>
      </c>
      <c r="H116">
        <f t="shared" si="3"/>
        <v>0.22</v>
      </c>
      <c r="I116">
        <f t="shared" si="4"/>
        <v>15777</v>
      </c>
      <c r="K116" t="str">
        <f t="shared" si="5"/>
        <v>No</v>
      </c>
    </row>
    <row r="117" spans="1:11" x14ac:dyDescent="0.3">
      <c r="A117" t="str">
        <f>Raw_Data!A117</f>
        <v>C116</v>
      </c>
      <c r="B117">
        <v>24201</v>
      </c>
      <c r="C117">
        <v>22690</v>
      </c>
      <c r="D117">
        <v>9</v>
      </c>
      <c r="E117" s="1">
        <v>0.1</v>
      </c>
      <c r="F117">
        <v>2</v>
      </c>
      <c r="G117">
        <v>64</v>
      </c>
      <c r="H117">
        <f t="shared" si="3"/>
        <v>0.1</v>
      </c>
      <c r="I117">
        <f t="shared" si="4"/>
        <v>22690</v>
      </c>
      <c r="K117" t="str">
        <f t="shared" si="5"/>
        <v>No</v>
      </c>
    </row>
    <row r="118" spans="1:11" x14ac:dyDescent="0.3">
      <c r="A118" t="str">
        <f>Raw_Data!A118</f>
        <v>C117</v>
      </c>
      <c r="B118">
        <v>43400</v>
      </c>
      <c r="C118" t="s">
        <v>46</v>
      </c>
      <c r="D118">
        <v>17</v>
      </c>
      <c r="E118" s="1" t="s">
        <v>23</v>
      </c>
      <c r="F118">
        <v>18</v>
      </c>
      <c r="G118">
        <v>71</v>
      </c>
      <c r="H118">
        <f t="shared" si="3"/>
        <v>0.21</v>
      </c>
      <c r="I118">
        <f t="shared" si="4"/>
        <v>16549</v>
      </c>
      <c r="K118" t="str">
        <f t="shared" si="5"/>
        <v>No</v>
      </c>
    </row>
    <row r="119" spans="1:11" x14ac:dyDescent="0.3">
      <c r="A119" t="str">
        <f>Raw_Data!A119</f>
        <v>C118</v>
      </c>
      <c r="B119">
        <v>1980</v>
      </c>
      <c r="C119">
        <v>12365</v>
      </c>
      <c r="D119">
        <v>23</v>
      </c>
      <c r="E119" s="1" t="s">
        <v>44</v>
      </c>
      <c r="F119">
        <v>20</v>
      </c>
      <c r="G119">
        <v>27</v>
      </c>
      <c r="H119">
        <f t="shared" si="3"/>
        <v>0.03</v>
      </c>
      <c r="I119">
        <f t="shared" si="4"/>
        <v>12365</v>
      </c>
      <c r="K119" t="str">
        <f t="shared" si="5"/>
        <v>No</v>
      </c>
    </row>
    <row r="120" spans="1:11" x14ac:dyDescent="0.3">
      <c r="A120" t="str">
        <f>Raw_Data!A120</f>
        <v>C119</v>
      </c>
      <c r="B120">
        <v>5949</v>
      </c>
      <c r="C120">
        <v>10192</v>
      </c>
      <c r="D120">
        <v>29</v>
      </c>
      <c r="E120" s="1">
        <v>0.04</v>
      </c>
      <c r="F120">
        <v>13</v>
      </c>
      <c r="G120">
        <v>4</v>
      </c>
      <c r="H120">
        <f t="shared" si="3"/>
        <v>0.04</v>
      </c>
      <c r="I120">
        <f t="shared" si="4"/>
        <v>10192</v>
      </c>
      <c r="K120" t="str">
        <f t="shared" si="5"/>
        <v>No</v>
      </c>
    </row>
    <row r="121" spans="1:11" x14ac:dyDescent="0.3">
      <c r="A121" t="str">
        <f>Raw_Data!A121</f>
        <v>C120</v>
      </c>
      <c r="B121">
        <v>7435</v>
      </c>
      <c r="C121">
        <v>7650</v>
      </c>
      <c r="D121">
        <v>16</v>
      </c>
      <c r="E121" s="1">
        <v>0.2</v>
      </c>
      <c r="F121">
        <v>4</v>
      </c>
      <c r="G121">
        <v>19</v>
      </c>
      <c r="H121">
        <f t="shared" si="3"/>
        <v>0.2</v>
      </c>
      <c r="I121">
        <f t="shared" si="4"/>
        <v>7650</v>
      </c>
      <c r="K121" t="str">
        <f t="shared" si="5"/>
        <v>No</v>
      </c>
    </row>
    <row r="122" spans="1:11" x14ac:dyDescent="0.3">
      <c r="A122" t="str">
        <f>Raw_Data!A122</f>
        <v>C121</v>
      </c>
      <c r="B122">
        <v>33445</v>
      </c>
      <c r="C122">
        <v>29687</v>
      </c>
      <c r="D122">
        <v>7</v>
      </c>
      <c r="E122" s="1">
        <v>0.26</v>
      </c>
      <c r="F122">
        <v>18</v>
      </c>
      <c r="G122">
        <v>1</v>
      </c>
      <c r="H122">
        <f t="shared" si="3"/>
        <v>0.26</v>
      </c>
      <c r="I122">
        <f t="shared" si="4"/>
        <v>29687</v>
      </c>
      <c r="K122" t="str">
        <f t="shared" si="5"/>
        <v>No</v>
      </c>
    </row>
    <row r="123" spans="1:11" x14ac:dyDescent="0.3">
      <c r="A123" t="str">
        <f>Raw_Data!A123</f>
        <v>C122</v>
      </c>
      <c r="B123">
        <v>38276</v>
      </c>
      <c r="C123">
        <v>24917</v>
      </c>
      <c r="D123">
        <v>3</v>
      </c>
      <c r="E123" s="1" t="s">
        <v>120</v>
      </c>
      <c r="F123">
        <v>9</v>
      </c>
      <c r="G123">
        <v>9</v>
      </c>
      <c r="H123">
        <f t="shared" si="3"/>
        <v>0.02</v>
      </c>
      <c r="I123">
        <f t="shared" si="4"/>
        <v>24917</v>
      </c>
      <c r="K123" t="str">
        <f t="shared" si="5"/>
        <v>No</v>
      </c>
    </row>
    <row r="124" spans="1:11" x14ac:dyDescent="0.3">
      <c r="A124" t="str">
        <f>Raw_Data!A124</f>
        <v>C123</v>
      </c>
      <c r="B124">
        <v>16839</v>
      </c>
      <c r="C124">
        <v>11200</v>
      </c>
      <c r="D124">
        <v>19</v>
      </c>
      <c r="E124" s="1" t="s">
        <v>26</v>
      </c>
      <c r="F124">
        <v>17</v>
      </c>
      <c r="G124">
        <v>46</v>
      </c>
      <c r="H124">
        <f t="shared" si="3"/>
        <v>0.19</v>
      </c>
      <c r="I124">
        <f t="shared" si="4"/>
        <v>11200</v>
      </c>
      <c r="K124" t="str">
        <f t="shared" si="5"/>
        <v>No</v>
      </c>
    </row>
    <row r="125" spans="1:11" x14ac:dyDescent="0.3">
      <c r="A125" t="str">
        <f>Raw_Data!A125</f>
        <v>C124</v>
      </c>
      <c r="B125">
        <v>47198</v>
      </c>
      <c r="C125">
        <v>29362</v>
      </c>
      <c r="D125">
        <v>7</v>
      </c>
      <c r="E125" s="1" t="s">
        <v>47</v>
      </c>
      <c r="F125">
        <v>16</v>
      </c>
      <c r="G125">
        <v>48</v>
      </c>
      <c r="H125">
        <f t="shared" si="3"/>
        <v>0.24</v>
      </c>
      <c r="I125">
        <f t="shared" si="4"/>
        <v>29362</v>
      </c>
      <c r="K125" t="str">
        <f t="shared" si="5"/>
        <v>No</v>
      </c>
    </row>
    <row r="126" spans="1:11" x14ac:dyDescent="0.3">
      <c r="A126" t="str">
        <f>Raw_Data!A126</f>
        <v>C125</v>
      </c>
      <c r="B126">
        <v>32948</v>
      </c>
      <c r="C126" t="s">
        <v>46</v>
      </c>
      <c r="D126">
        <v>2</v>
      </c>
      <c r="E126" s="1">
        <v>0.2</v>
      </c>
      <c r="F126">
        <v>6</v>
      </c>
      <c r="G126">
        <v>69</v>
      </c>
      <c r="H126">
        <f t="shared" si="3"/>
        <v>0.2</v>
      </c>
      <c r="I126">
        <f t="shared" si="4"/>
        <v>16549</v>
      </c>
      <c r="K126" t="str">
        <f t="shared" si="5"/>
        <v>No</v>
      </c>
    </row>
    <row r="127" spans="1:11" x14ac:dyDescent="0.3">
      <c r="A127" t="str">
        <f>Raw_Data!A127</f>
        <v>C126</v>
      </c>
      <c r="B127">
        <v>48524</v>
      </c>
      <c r="C127">
        <v>16959</v>
      </c>
      <c r="D127">
        <v>1</v>
      </c>
      <c r="E127" s="1">
        <v>0.26</v>
      </c>
      <c r="F127">
        <v>20</v>
      </c>
      <c r="G127">
        <v>59</v>
      </c>
      <c r="H127">
        <f t="shared" si="3"/>
        <v>0.26</v>
      </c>
      <c r="I127">
        <f t="shared" si="4"/>
        <v>16959</v>
      </c>
      <c r="K127" t="str">
        <f t="shared" si="5"/>
        <v>Yes</v>
      </c>
    </row>
    <row r="128" spans="1:11" x14ac:dyDescent="0.3">
      <c r="A128" t="str">
        <f>Raw_Data!A128</f>
        <v>C127</v>
      </c>
      <c r="B128">
        <v>7497</v>
      </c>
      <c r="C128">
        <v>638</v>
      </c>
      <c r="D128">
        <v>28</v>
      </c>
      <c r="E128" s="1" t="s">
        <v>23</v>
      </c>
      <c r="F128">
        <v>2</v>
      </c>
      <c r="G128">
        <v>52</v>
      </c>
      <c r="H128">
        <f t="shared" si="3"/>
        <v>0.21</v>
      </c>
      <c r="I128">
        <f t="shared" si="4"/>
        <v>638</v>
      </c>
      <c r="K128" t="str">
        <f t="shared" si="5"/>
        <v>No</v>
      </c>
    </row>
    <row r="129" spans="1:11" x14ac:dyDescent="0.3">
      <c r="A129" t="str">
        <f>Raw_Data!A129</f>
        <v>C128</v>
      </c>
      <c r="B129">
        <v>23679</v>
      </c>
      <c r="C129" t="s">
        <v>46</v>
      </c>
      <c r="D129">
        <v>8</v>
      </c>
      <c r="E129" s="1" t="s">
        <v>23</v>
      </c>
      <c r="F129">
        <v>0</v>
      </c>
      <c r="G129">
        <v>20</v>
      </c>
      <c r="H129">
        <f t="shared" si="3"/>
        <v>0.21</v>
      </c>
      <c r="I129">
        <f t="shared" si="4"/>
        <v>16549</v>
      </c>
      <c r="K129" t="str">
        <f t="shared" si="5"/>
        <v>No</v>
      </c>
    </row>
    <row r="130" spans="1:11" x14ac:dyDescent="0.3">
      <c r="A130" t="str">
        <f>Raw_Data!A130</f>
        <v>C129</v>
      </c>
      <c r="B130">
        <v>41075</v>
      </c>
      <c r="C130">
        <v>21795</v>
      </c>
      <c r="D130">
        <v>9</v>
      </c>
      <c r="E130" s="1">
        <v>0.17</v>
      </c>
      <c r="F130">
        <v>11</v>
      </c>
      <c r="G130">
        <v>65</v>
      </c>
      <c r="H130">
        <f t="shared" si="3"/>
        <v>0.17</v>
      </c>
      <c r="I130">
        <f t="shared" si="4"/>
        <v>21795</v>
      </c>
      <c r="K130" t="str">
        <f t="shared" si="5"/>
        <v>No</v>
      </c>
    </row>
    <row r="131" spans="1:11" x14ac:dyDescent="0.3">
      <c r="A131" t="str">
        <f>Raw_Data!A131</f>
        <v>C130</v>
      </c>
      <c r="B131">
        <v>34064</v>
      </c>
      <c r="C131">
        <v>28932</v>
      </c>
      <c r="D131">
        <v>10</v>
      </c>
      <c r="E131" s="1" t="s">
        <v>166</v>
      </c>
      <c r="F131">
        <v>16</v>
      </c>
      <c r="G131">
        <v>40</v>
      </c>
      <c r="H131">
        <f t="shared" ref="H131:H194" si="6">IF(ISNUMBER(SEARCH("%",E131)), VALUE(SUBSTITUTE(E131,"%",""))/100, E131)</f>
        <v>0.28999999999999998</v>
      </c>
      <c r="I131">
        <f t="shared" ref="I131:I194" si="7">IF(C131="", $J$2, C131)</f>
        <v>28932</v>
      </c>
      <c r="K131" t="str">
        <f t="shared" ref="K131:K194" si="8">IF(B131&gt;PERCENTILE($B:$B,0.95),"Yes","No")</f>
        <v>No</v>
      </c>
    </row>
    <row r="132" spans="1:11" x14ac:dyDescent="0.3">
      <c r="A132" t="str">
        <f>Raw_Data!A132</f>
        <v>C131</v>
      </c>
      <c r="B132">
        <v>9293</v>
      </c>
      <c r="C132">
        <v>4215</v>
      </c>
      <c r="D132">
        <v>28</v>
      </c>
      <c r="E132" s="1">
        <v>0.24</v>
      </c>
      <c r="F132">
        <v>7</v>
      </c>
      <c r="G132">
        <v>20</v>
      </c>
      <c r="H132">
        <f t="shared" si="6"/>
        <v>0.24</v>
      </c>
      <c r="I132">
        <f t="shared" si="7"/>
        <v>4215</v>
      </c>
      <c r="K132" t="str">
        <f t="shared" si="8"/>
        <v>No</v>
      </c>
    </row>
    <row r="133" spans="1:11" x14ac:dyDescent="0.3">
      <c r="A133" t="str">
        <f>Raw_Data!A133</f>
        <v>C132</v>
      </c>
      <c r="B133">
        <v>15078</v>
      </c>
      <c r="C133">
        <v>10338</v>
      </c>
      <c r="D133">
        <v>3</v>
      </c>
      <c r="E133" s="1">
        <v>0.05</v>
      </c>
      <c r="F133">
        <v>6</v>
      </c>
      <c r="G133">
        <v>30</v>
      </c>
      <c r="H133">
        <f t="shared" si="6"/>
        <v>0.05</v>
      </c>
      <c r="I133">
        <f t="shared" si="7"/>
        <v>10338</v>
      </c>
      <c r="K133" t="str">
        <f t="shared" si="8"/>
        <v>No</v>
      </c>
    </row>
    <row r="134" spans="1:11" x14ac:dyDescent="0.3">
      <c r="A134" t="str">
        <f>Raw_Data!A134</f>
        <v>C133</v>
      </c>
      <c r="B134">
        <v>20076</v>
      </c>
      <c r="C134" t="s">
        <v>46</v>
      </c>
      <c r="D134">
        <v>6</v>
      </c>
      <c r="E134" s="1">
        <v>0.28000000000000003</v>
      </c>
      <c r="F134">
        <v>16</v>
      </c>
      <c r="G134">
        <v>72</v>
      </c>
      <c r="H134">
        <f t="shared" si="6"/>
        <v>0.28000000000000003</v>
      </c>
      <c r="I134">
        <f t="shared" si="7"/>
        <v>16549</v>
      </c>
      <c r="K134" t="str">
        <f t="shared" si="8"/>
        <v>No</v>
      </c>
    </row>
    <row r="135" spans="1:11" x14ac:dyDescent="0.3">
      <c r="A135" t="str">
        <f>Raw_Data!A135</f>
        <v>C134</v>
      </c>
      <c r="B135">
        <v>16853</v>
      </c>
      <c r="C135">
        <v>12995</v>
      </c>
      <c r="D135">
        <v>22</v>
      </c>
      <c r="E135" s="1" t="s">
        <v>47</v>
      </c>
      <c r="F135">
        <v>7</v>
      </c>
      <c r="G135">
        <v>43</v>
      </c>
      <c r="H135">
        <f t="shared" si="6"/>
        <v>0.24</v>
      </c>
      <c r="I135">
        <f t="shared" si="7"/>
        <v>12995</v>
      </c>
      <c r="K135" t="str">
        <f t="shared" si="8"/>
        <v>No</v>
      </c>
    </row>
    <row r="136" spans="1:11" x14ac:dyDescent="0.3">
      <c r="A136" t="str">
        <f>Raw_Data!A136</f>
        <v>C135</v>
      </c>
      <c r="B136">
        <v>36002</v>
      </c>
      <c r="C136">
        <v>13974</v>
      </c>
      <c r="D136">
        <v>6</v>
      </c>
      <c r="E136" s="1" t="s">
        <v>147</v>
      </c>
      <c r="F136">
        <v>3</v>
      </c>
      <c r="G136">
        <v>16</v>
      </c>
      <c r="H136">
        <f t="shared" si="6"/>
        <v>0.11</v>
      </c>
      <c r="I136">
        <f t="shared" si="7"/>
        <v>13974</v>
      </c>
      <c r="K136" t="str">
        <f t="shared" si="8"/>
        <v>No</v>
      </c>
    </row>
    <row r="137" spans="1:11" x14ac:dyDescent="0.3">
      <c r="A137" t="str">
        <f>Raw_Data!A137</f>
        <v>C136</v>
      </c>
      <c r="B137">
        <v>1432</v>
      </c>
      <c r="C137">
        <v>29495</v>
      </c>
      <c r="D137">
        <v>30</v>
      </c>
      <c r="E137" s="1" t="s">
        <v>69</v>
      </c>
      <c r="F137">
        <v>20</v>
      </c>
      <c r="G137">
        <v>66</v>
      </c>
      <c r="H137">
        <f t="shared" si="6"/>
        <v>0.25</v>
      </c>
      <c r="I137">
        <f t="shared" si="7"/>
        <v>29495</v>
      </c>
      <c r="K137" t="str">
        <f t="shared" si="8"/>
        <v>No</v>
      </c>
    </row>
    <row r="138" spans="1:11" x14ac:dyDescent="0.3">
      <c r="A138" t="str">
        <f>Raw_Data!A138</f>
        <v>C137</v>
      </c>
      <c r="B138">
        <v>17616</v>
      </c>
      <c r="C138">
        <v>8862</v>
      </c>
      <c r="D138">
        <v>1</v>
      </c>
      <c r="E138" s="1" t="s">
        <v>141</v>
      </c>
      <c r="F138">
        <v>17</v>
      </c>
      <c r="G138">
        <v>63</v>
      </c>
      <c r="H138">
        <f t="shared" si="6"/>
        <v>0.26</v>
      </c>
      <c r="I138">
        <f t="shared" si="7"/>
        <v>8862</v>
      </c>
      <c r="K138" t="str">
        <f t="shared" si="8"/>
        <v>No</v>
      </c>
    </row>
    <row r="139" spans="1:11" x14ac:dyDescent="0.3">
      <c r="A139" t="str">
        <f>Raw_Data!A139</f>
        <v>C138</v>
      </c>
      <c r="B139">
        <v>41141</v>
      </c>
      <c r="C139">
        <v>14530</v>
      </c>
      <c r="D139">
        <v>12</v>
      </c>
      <c r="E139" s="1">
        <v>0.27</v>
      </c>
      <c r="F139">
        <v>8</v>
      </c>
      <c r="G139">
        <v>19</v>
      </c>
      <c r="H139">
        <f t="shared" si="6"/>
        <v>0.27</v>
      </c>
      <c r="I139">
        <f t="shared" si="7"/>
        <v>14530</v>
      </c>
      <c r="K139" t="str">
        <f t="shared" si="8"/>
        <v>No</v>
      </c>
    </row>
    <row r="140" spans="1:11" x14ac:dyDescent="0.3">
      <c r="A140" t="str">
        <f>Raw_Data!A140</f>
        <v>C139</v>
      </c>
      <c r="B140">
        <v>25577</v>
      </c>
      <c r="C140">
        <v>21498</v>
      </c>
      <c r="D140">
        <v>26</v>
      </c>
      <c r="E140" s="1" t="s">
        <v>56</v>
      </c>
      <c r="F140">
        <v>1</v>
      </c>
      <c r="G140">
        <v>32</v>
      </c>
      <c r="H140">
        <f t="shared" si="6"/>
        <v>0.23</v>
      </c>
      <c r="I140">
        <f t="shared" si="7"/>
        <v>21498</v>
      </c>
      <c r="K140" t="str">
        <f t="shared" si="8"/>
        <v>No</v>
      </c>
    </row>
    <row r="141" spans="1:11" x14ac:dyDescent="0.3">
      <c r="A141" t="str">
        <f>Raw_Data!A141</f>
        <v>C140</v>
      </c>
      <c r="B141">
        <v>45842</v>
      </c>
      <c r="C141">
        <v>4243</v>
      </c>
      <c r="D141">
        <v>22</v>
      </c>
      <c r="E141" s="1" t="s">
        <v>86</v>
      </c>
      <c r="F141">
        <v>5</v>
      </c>
      <c r="G141">
        <v>19</v>
      </c>
      <c r="H141">
        <f t="shared" si="6"/>
        <v>0.2</v>
      </c>
      <c r="I141">
        <f t="shared" si="7"/>
        <v>4243</v>
      </c>
      <c r="K141" t="str">
        <f t="shared" si="8"/>
        <v>No</v>
      </c>
    </row>
    <row r="142" spans="1:11" x14ac:dyDescent="0.3">
      <c r="A142" t="str">
        <f>Raw_Data!A142</f>
        <v>C141</v>
      </c>
      <c r="B142">
        <v>32790</v>
      </c>
      <c r="C142">
        <v>20381</v>
      </c>
      <c r="D142">
        <v>7</v>
      </c>
      <c r="E142" s="1" t="s">
        <v>21</v>
      </c>
      <c r="F142">
        <v>6</v>
      </c>
      <c r="G142">
        <v>3</v>
      </c>
      <c r="H142">
        <f t="shared" si="6"/>
        <v>0.06</v>
      </c>
      <c r="I142">
        <f t="shared" si="7"/>
        <v>20381</v>
      </c>
      <c r="K142" t="str">
        <f t="shared" si="8"/>
        <v>No</v>
      </c>
    </row>
    <row r="143" spans="1:11" x14ac:dyDescent="0.3">
      <c r="A143" t="str">
        <f>Raw_Data!A143</f>
        <v>C142</v>
      </c>
      <c r="B143">
        <v>10315</v>
      </c>
      <c r="C143">
        <v>27581</v>
      </c>
      <c r="D143">
        <v>16</v>
      </c>
      <c r="E143" s="1">
        <v>0.01</v>
      </c>
      <c r="F143">
        <v>7</v>
      </c>
      <c r="G143">
        <v>8</v>
      </c>
      <c r="H143">
        <f t="shared" si="6"/>
        <v>0.01</v>
      </c>
      <c r="I143">
        <f t="shared" si="7"/>
        <v>27581</v>
      </c>
      <c r="K143" t="str">
        <f t="shared" si="8"/>
        <v>No</v>
      </c>
    </row>
    <row r="144" spans="1:11" x14ac:dyDescent="0.3">
      <c r="A144" t="str">
        <f>Raw_Data!A144</f>
        <v>C143</v>
      </c>
      <c r="B144">
        <v>31695</v>
      </c>
      <c r="C144" t="s">
        <v>46</v>
      </c>
      <c r="D144">
        <v>3</v>
      </c>
      <c r="E144" s="1" t="s">
        <v>47</v>
      </c>
      <c r="F144">
        <v>5</v>
      </c>
      <c r="G144">
        <v>3</v>
      </c>
      <c r="H144">
        <f t="shared" si="6"/>
        <v>0.24</v>
      </c>
      <c r="I144">
        <f t="shared" si="7"/>
        <v>16549</v>
      </c>
      <c r="K144" t="str">
        <f t="shared" si="8"/>
        <v>No</v>
      </c>
    </row>
    <row r="145" spans="1:11" x14ac:dyDescent="0.3">
      <c r="A145" t="str">
        <f>Raw_Data!A145</f>
        <v>C144</v>
      </c>
      <c r="B145">
        <v>7229</v>
      </c>
      <c r="C145">
        <v>29639</v>
      </c>
      <c r="D145">
        <v>6</v>
      </c>
      <c r="E145" s="1" t="s">
        <v>81</v>
      </c>
      <c r="F145">
        <v>9</v>
      </c>
      <c r="G145">
        <v>55</v>
      </c>
      <c r="H145">
        <f t="shared" si="6"/>
        <v>0.28000000000000003</v>
      </c>
      <c r="I145">
        <f t="shared" si="7"/>
        <v>29639</v>
      </c>
      <c r="K145" t="str">
        <f t="shared" si="8"/>
        <v>No</v>
      </c>
    </row>
    <row r="146" spans="1:11" x14ac:dyDescent="0.3">
      <c r="A146" t="str">
        <f>Raw_Data!A146</f>
        <v>C145</v>
      </c>
      <c r="B146">
        <v>1081</v>
      </c>
      <c r="C146">
        <v>8655</v>
      </c>
      <c r="D146">
        <v>19</v>
      </c>
      <c r="E146" s="1">
        <v>0.22</v>
      </c>
      <c r="F146">
        <v>0</v>
      </c>
      <c r="G146">
        <v>71</v>
      </c>
      <c r="H146">
        <f t="shared" si="6"/>
        <v>0.22</v>
      </c>
      <c r="I146">
        <f t="shared" si="7"/>
        <v>8655</v>
      </c>
      <c r="K146" t="str">
        <f t="shared" si="8"/>
        <v>No</v>
      </c>
    </row>
    <row r="147" spans="1:11" x14ac:dyDescent="0.3">
      <c r="A147" t="str">
        <f>Raw_Data!A147</f>
        <v>C146</v>
      </c>
      <c r="B147">
        <v>27147</v>
      </c>
      <c r="C147">
        <v>14536</v>
      </c>
      <c r="D147">
        <v>7</v>
      </c>
      <c r="E147" s="1" t="s">
        <v>123</v>
      </c>
      <c r="F147">
        <v>13</v>
      </c>
      <c r="G147">
        <v>34</v>
      </c>
      <c r="H147">
        <f t="shared" si="6"/>
        <v>0.16</v>
      </c>
      <c r="I147">
        <f t="shared" si="7"/>
        <v>14536</v>
      </c>
      <c r="K147" t="str">
        <f t="shared" si="8"/>
        <v>No</v>
      </c>
    </row>
    <row r="148" spans="1:11" x14ac:dyDescent="0.3">
      <c r="A148" t="str">
        <f>Raw_Data!A148</f>
        <v>C147</v>
      </c>
      <c r="B148">
        <v>28860</v>
      </c>
      <c r="C148">
        <v>13908</v>
      </c>
      <c r="D148">
        <v>3</v>
      </c>
      <c r="E148" s="1" t="s">
        <v>62</v>
      </c>
      <c r="F148">
        <v>11</v>
      </c>
      <c r="G148">
        <v>64</v>
      </c>
      <c r="H148">
        <f t="shared" si="6"/>
        <v>0.17</v>
      </c>
      <c r="I148">
        <f t="shared" si="7"/>
        <v>13908</v>
      </c>
      <c r="K148" t="str">
        <f t="shared" si="8"/>
        <v>No</v>
      </c>
    </row>
    <row r="149" spans="1:11" x14ac:dyDescent="0.3">
      <c r="A149" t="str">
        <f>Raw_Data!A149</f>
        <v>C148</v>
      </c>
      <c r="B149">
        <v>20378</v>
      </c>
      <c r="C149">
        <v>27433</v>
      </c>
      <c r="D149">
        <v>30</v>
      </c>
      <c r="E149" s="1">
        <v>0.12</v>
      </c>
      <c r="F149">
        <v>7</v>
      </c>
      <c r="G149">
        <v>10</v>
      </c>
      <c r="H149">
        <f t="shared" si="6"/>
        <v>0.12</v>
      </c>
      <c r="I149">
        <f t="shared" si="7"/>
        <v>27433</v>
      </c>
      <c r="K149" t="str">
        <f t="shared" si="8"/>
        <v>No</v>
      </c>
    </row>
    <row r="150" spans="1:11" x14ac:dyDescent="0.3">
      <c r="A150" t="str">
        <f>Raw_Data!A150</f>
        <v>C149</v>
      </c>
      <c r="B150">
        <v>31997</v>
      </c>
      <c r="C150" t="s">
        <v>46</v>
      </c>
      <c r="D150">
        <v>26</v>
      </c>
      <c r="E150" s="1" t="s">
        <v>106</v>
      </c>
      <c r="F150">
        <v>5</v>
      </c>
      <c r="G150">
        <v>57</v>
      </c>
      <c r="H150">
        <f t="shared" si="6"/>
        <v>0.01</v>
      </c>
      <c r="I150">
        <f t="shared" si="7"/>
        <v>16549</v>
      </c>
      <c r="K150" t="str">
        <f t="shared" si="8"/>
        <v>No</v>
      </c>
    </row>
    <row r="151" spans="1:11" x14ac:dyDescent="0.3">
      <c r="A151" t="str">
        <f>Raw_Data!A151</f>
        <v>C150</v>
      </c>
      <c r="B151">
        <v>11902</v>
      </c>
      <c r="C151">
        <v>12219</v>
      </c>
      <c r="D151">
        <v>8</v>
      </c>
      <c r="E151" s="1" t="s">
        <v>54</v>
      </c>
      <c r="F151">
        <v>14</v>
      </c>
      <c r="G151">
        <v>8</v>
      </c>
      <c r="H151">
        <f t="shared" si="6"/>
        <v>0.08</v>
      </c>
      <c r="I151">
        <f t="shared" si="7"/>
        <v>12219</v>
      </c>
      <c r="K151" t="str">
        <f t="shared" si="8"/>
        <v>No</v>
      </c>
    </row>
    <row r="152" spans="1:11" x14ac:dyDescent="0.3">
      <c r="A152" t="str">
        <f>Raw_Data!A152</f>
        <v>C151</v>
      </c>
      <c r="B152">
        <v>19513</v>
      </c>
      <c r="C152">
        <v>23014</v>
      </c>
      <c r="D152">
        <v>29</v>
      </c>
      <c r="E152" s="1">
        <v>0.08</v>
      </c>
      <c r="F152">
        <v>13</v>
      </c>
      <c r="G152">
        <v>41</v>
      </c>
      <c r="H152">
        <f t="shared" si="6"/>
        <v>0.08</v>
      </c>
      <c r="I152">
        <f t="shared" si="7"/>
        <v>23014</v>
      </c>
      <c r="K152" t="str">
        <f t="shared" si="8"/>
        <v>No</v>
      </c>
    </row>
    <row r="153" spans="1:11" x14ac:dyDescent="0.3">
      <c r="A153" t="str">
        <f>Raw_Data!A153</f>
        <v>C152</v>
      </c>
      <c r="B153">
        <v>46664</v>
      </c>
      <c r="C153">
        <v>23398</v>
      </c>
      <c r="D153">
        <v>10</v>
      </c>
      <c r="E153" s="1" t="s">
        <v>100</v>
      </c>
      <c r="F153">
        <v>13</v>
      </c>
      <c r="G153">
        <v>18</v>
      </c>
      <c r="H153">
        <f t="shared" si="6"/>
        <v>0.04</v>
      </c>
      <c r="I153">
        <f t="shared" si="7"/>
        <v>23398</v>
      </c>
      <c r="K153" t="str">
        <f t="shared" si="8"/>
        <v>No</v>
      </c>
    </row>
    <row r="154" spans="1:11" x14ac:dyDescent="0.3">
      <c r="A154" t="str">
        <f>Raw_Data!A154</f>
        <v>C153</v>
      </c>
      <c r="B154">
        <v>44844</v>
      </c>
      <c r="C154">
        <v>11958</v>
      </c>
      <c r="D154">
        <v>4</v>
      </c>
      <c r="E154" s="1">
        <v>0.02</v>
      </c>
      <c r="F154">
        <v>4</v>
      </c>
      <c r="G154">
        <v>39</v>
      </c>
      <c r="H154">
        <f t="shared" si="6"/>
        <v>0.02</v>
      </c>
      <c r="I154">
        <f t="shared" si="7"/>
        <v>11958</v>
      </c>
      <c r="K154" t="str">
        <f t="shared" si="8"/>
        <v>No</v>
      </c>
    </row>
    <row r="155" spans="1:11" x14ac:dyDescent="0.3">
      <c r="A155" t="str">
        <f>Raw_Data!A155</f>
        <v>C154</v>
      </c>
      <c r="B155">
        <v>23330</v>
      </c>
      <c r="C155">
        <v>20975</v>
      </c>
      <c r="D155">
        <v>6</v>
      </c>
      <c r="E155" s="1" t="s">
        <v>30</v>
      </c>
      <c r="F155">
        <v>19</v>
      </c>
      <c r="G155">
        <v>58</v>
      </c>
      <c r="H155">
        <f t="shared" si="6"/>
        <v>0.13</v>
      </c>
      <c r="I155">
        <f t="shared" si="7"/>
        <v>20975</v>
      </c>
      <c r="K155" t="str">
        <f t="shared" si="8"/>
        <v>No</v>
      </c>
    </row>
    <row r="156" spans="1:11" x14ac:dyDescent="0.3">
      <c r="A156" t="str">
        <f>Raw_Data!A156</f>
        <v>C155</v>
      </c>
      <c r="B156">
        <v>36031</v>
      </c>
      <c r="C156">
        <v>13078</v>
      </c>
      <c r="D156">
        <v>18</v>
      </c>
      <c r="E156" s="1">
        <v>0.06</v>
      </c>
      <c r="F156">
        <v>14</v>
      </c>
      <c r="G156">
        <v>3</v>
      </c>
      <c r="H156">
        <f t="shared" si="6"/>
        <v>0.06</v>
      </c>
      <c r="I156">
        <f t="shared" si="7"/>
        <v>13078</v>
      </c>
      <c r="K156" t="str">
        <f t="shared" si="8"/>
        <v>No</v>
      </c>
    </row>
    <row r="157" spans="1:11" x14ac:dyDescent="0.3">
      <c r="A157" t="str">
        <f>Raw_Data!A157</f>
        <v>C156</v>
      </c>
      <c r="B157">
        <v>3795</v>
      </c>
      <c r="C157">
        <v>12191</v>
      </c>
      <c r="D157">
        <v>14</v>
      </c>
      <c r="E157" s="1">
        <v>0.08</v>
      </c>
      <c r="F157">
        <v>18</v>
      </c>
      <c r="G157">
        <v>31</v>
      </c>
      <c r="H157">
        <f t="shared" si="6"/>
        <v>0.08</v>
      </c>
      <c r="I157">
        <f t="shared" si="7"/>
        <v>12191</v>
      </c>
      <c r="K157" t="str">
        <f t="shared" si="8"/>
        <v>No</v>
      </c>
    </row>
    <row r="158" spans="1:11" x14ac:dyDescent="0.3">
      <c r="A158" t="str">
        <f>Raw_Data!A158</f>
        <v>C157</v>
      </c>
      <c r="B158">
        <v>38798</v>
      </c>
      <c r="C158">
        <v>14484</v>
      </c>
      <c r="D158">
        <v>23</v>
      </c>
      <c r="E158" s="1">
        <v>0.02</v>
      </c>
      <c r="F158">
        <v>3</v>
      </c>
      <c r="G158">
        <v>37</v>
      </c>
      <c r="H158">
        <f t="shared" si="6"/>
        <v>0.02</v>
      </c>
      <c r="I158">
        <f t="shared" si="7"/>
        <v>14484</v>
      </c>
      <c r="K158" t="str">
        <f t="shared" si="8"/>
        <v>No</v>
      </c>
    </row>
    <row r="159" spans="1:11" x14ac:dyDescent="0.3">
      <c r="A159" t="str">
        <f>Raw_Data!A159</f>
        <v>C158</v>
      </c>
      <c r="B159">
        <v>14233</v>
      </c>
      <c r="C159">
        <v>5765</v>
      </c>
      <c r="D159">
        <v>8</v>
      </c>
      <c r="E159" s="1">
        <v>0.2</v>
      </c>
      <c r="F159">
        <v>15</v>
      </c>
      <c r="G159">
        <v>41</v>
      </c>
      <c r="H159">
        <f t="shared" si="6"/>
        <v>0.2</v>
      </c>
      <c r="I159">
        <f t="shared" si="7"/>
        <v>5765</v>
      </c>
      <c r="K159" t="str">
        <f t="shared" si="8"/>
        <v>No</v>
      </c>
    </row>
    <row r="160" spans="1:11" x14ac:dyDescent="0.3">
      <c r="A160" t="str">
        <f>Raw_Data!A160</f>
        <v>C159</v>
      </c>
      <c r="B160">
        <v>15136</v>
      </c>
      <c r="C160">
        <v>8677</v>
      </c>
      <c r="D160">
        <v>30</v>
      </c>
      <c r="E160" s="1">
        <v>0.03</v>
      </c>
      <c r="F160">
        <v>17</v>
      </c>
      <c r="G160">
        <v>56</v>
      </c>
      <c r="H160">
        <f t="shared" si="6"/>
        <v>0.03</v>
      </c>
      <c r="I160">
        <f t="shared" si="7"/>
        <v>8677</v>
      </c>
      <c r="K160" t="str">
        <f t="shared" si="8"/>
        <v>No</v>
      </c>
    </row>
    <row r="161" spans="1:11" x14ac:dyDescent="0.3">
      <c r="A161" t="str">
        <f>Raw_Data!A161</f>
        <v>C160</v>
      </c>
      <c r="B161">
        <v>26428</v>
      </c>
      <c r="C161">
        <v>16159</v>
      </c>
      <c r="D161">
        <v>10</v>
      </c>
      <c r="E161" s="1">
        <v>0.03</v>
      </c>
      <c r="F161">
        <v>4</v>
      </c>
      <c r="G161">
        <v>47</v>
      </c>
      <c r="H161">
        <f t="shared" si="6"/>
        <v>0.03</v>
      </c>
      <c r="I161">
        <f t="shared" si="7"/>
        <v>16159</v>
      </c>
      <c r="K161" t="str">
        <f t="shared" si="8"/>
        <v>No</v>
      </c>
    </row>
    <row r="162" spans="1:11" x14ac:dyDescent="0.3">
      <c r="A162" t="str">
        <f>Raw_Data!A162</f>
        <v>C161</v>
      </c>
      <c r="B162">
        <v>6919</v>
      </c>
      <c r="C162">
        <v>5184</v>
      </c>
      <c r="D162">
        <v>5</v>
      </c>
      <c r="E162" s="1" t="s">
        <v>35</v>
      </c>
      <c r="F162">
        <v>18</v>
      </c>
      <c r="G162">
        <v>70</v>
      </c>
      <c r="H162">
        <f t="shared" si="6"/>
        <v>0.3</v>
      </c>
      <c r="I162">
        <f t="shared" si="7"/>
        <v>5184</v>
      </c>
      <c r="K162" t="str">
        <f t="shared" si="8"/>
        <v>No</v>
      </c>
    </row>
    <row r="163" spans="1:11" x14ac:dyDescent="0.3">
      <c r="A163" t="str">
        <f>Raw_Data!A163</f>
        <v>C162</v>
      </c>
      <c r="B163">
        <v>44118</v>
      </c>
      <c r="C163">
        <v>19773</v>
      </c>
      <c r="D163">
        <v>9</v>
      </c>
      <c r="E163" s="1" t="s">
        <v>90</v>
      </c>
      <c r="F163">
        <v>6</v>
      </c>
      <c r="G163">
        <v>23</v>
      </c>
      <c r="H163">
        <f t="shared" si="6"/>
        <v>0.22</v>
      </c>
      <c r="I163">
        <f t="shared" si="7"/>
        <v>19773</v>
      </c>
      <c r="K163" t="str">
        <f t="shared" si="8"/>
        <v>No</v>
      </c>
    </row>
    <row r="164" spans="1:11" x14ac:dyDescent="0.3">
      <c r="A164" t="str">
        <f>Raw_Data!A164</f>
        <v>C163</v>
      </c>
      <c r="B164">
        <v>4608</v>
      </c>
      <c r="C164">
        <v>1442</v>
      </c>
      <c r="D164">
        <v>17</v>
      </c>
      <c r="E164" s="1">
        <v>0.1</v>
      </c>
      <c r="F164">
        <v>17</v>
      </c>
      <c r="G164">
        <v>60</v>
      </c>
      <c r="H164">
        <f t="shared" si="6"/>
        <v>0.1</v>
      </c>
      <c r="I164">
        <f t="shared" si="7"/>
        <v>1442</v>
      </c>
      <c r="K164" t="str">
        <f t="shared" si="8"/>
        <v>No</v>
      </c>
    </row>
    <row r="165" spans="1:11" x14ac:dyDescent="0.3">
      <c r="A165" t="str">
        <f>Raw_Data!A165</f>
        <v>C164</v>
      </c>
      <c r="B165">
        <v>28090</v>
      </c>
      <c r="C165">
        <v>19632</v>
      </c>
      <c r="D165">
        <v>20</v>
      </c>
      <c r="E165" s="1" t="s">
        <v>120</v>
      </c>
      <c r="F165">
        <v>8</v>
      </c>
      <c r="G165">
        <v>67</v>
      </c>
      <c r="H165">
        <f t="shared" si="6"/>
        <v>0.02</v>
      </c>
      <c r="I165">
        <f t="shared" si="7"/>
        <v>19632</v>
      </c>
      <c r="K165" t="str">
        <f t="shared" si="8"/>
        <v>No</v>
      </c>
    </row>
    <row r="166" spans="1:11" x14ac:dyDescent="0.3">
      <c r="A166" t="str">
        <f>Raw_Data!A166</f>
        <v>C165</v>
      </c>
      <c r="B166">
        <v>48127</v>
      </c>
      <c r="C166" t="s">
        <v>46</v>
      </c>
      <c r="D166">
        <v>10</v>
      </c>
      <c r="E166" s="1" t="s">
        <v>40</v>
      </c>
      <c r="F166">
        <v>17</v>
      </c>
      <c r="G166">
        <v>31</v>
      </c>
      <c r="H166">
        <f t="shared" si="6"/>
        <v>7.0000000000000007E-2</v>
      </c>
      <c r="I166">
        <f t="shared" si="7"/>
        <v>16549</v>
      </c>
      <c r="K166" t="str">
        <f t="shared" si="8"/>
        <v>Yes</v>
      </c>
    </row>
    <row r="167" spans="1:11" x14ac:dyDescent="0.3">
      <c r="A167" t="str">
        <f>Raw_Data!A167</f>
        <v>C166</v>
      </c>
      <c r="B167">
        <v>13213</v>
      </c>
      <c r="C167">
        <v>3575</v>
      </c>
      <c r="D167">
        <v>9</v>
      </c>
      <c r="E167" s="1">
        <v>0.13</v>
      </c>
      <c r="F167">
        <v>14</v>
      </c>
      <c r="G167">
        <v>55</v>
      </c>
      <c r="H167">
        <f t="shared" si="6"/>
        <v>0.13</v>
      </c>
      <c r="I167">
        <f t="shared" si="7"/>
        <v>3575</v>
      </c>
      <c r="K167" t="str">
        <f t="shared" si="8"/>
        <v>No</v>
      </c>
    </row>
    <row r="168" spans="1:11" x14ac:dyDescent="0.3">
      <c r="A168" t="str">
        <f>Raw_Data!A168</f>
        <v>C167</v>
      </c>
      <c r="B168">
        <v>6429</v>
      </c>
      <c r="C168">
        <v>4480</v>
      </c>
      <c r="D168">
        <v>23</v>
      </c>
      <c r="E168" s="1">
        <v>0.3</v>
      </c>
      <c r="F168">
        <v>9</v>
      </c>
      <c r="G168">
        <v>1</v>
      </c>
      <c r="H168">
        <f t="shared" si="6"/>
        <v>0.3</v>
      </c>
      <c r="I168">
        <f t="shared" si="7"/>
        <v>4480</v>
      </c>
      <c r="K168" t="str">
        <f t="shared" si="8"/>
        <v>No</v>
      </c>
    </row>
    <row r="169" spans="1:11" x14ac:dyDescent="0.3">
      <c r="A169" t="str">
        <f>Raw_Data!A169</f>
        <v>C168</v>
      </c>
      <c r="B169">
        <v>3349</v>
      </c>
      <c r="C169">
        <v>3716</v>
      </c>
      <c r="D169">
        <v>27</v>
      </c>
      <c r="E169" s="1" t="s">
        <v>205</v>
      </c>
      <c r="F169">
        <v>16</v>
      </c>
      <c r="G169">
        <v>45</v>
      </c>
      <c r="H169">
        <f t="shared" si="6"/>
        <v>0.18</v>
      </c>
      <c r="I169">
        <f t="shared" si="7"/>
        <v>3716</v>
      </c>
      <c r="K169" t="str">
        <f t="shared" si="8"/>
        <v>No</v>
      </c>
    </row>
    <row r="170" spans="1:11" x14ac:dyDescent="0.3">
      <c r="A170" t="str">
        <f>Raw_Data!A170</f>
        <v>C169</v>
      </c>
      <c r="B170">
        <v>27307</v>
      </c>
      <c r="C170">
        <v>22998</v>
      </c>
      <c r="D170">
        <v>3</v>
      </c>
      <c r="E170" s="1" t="s">
        <v>40</v>
      </c>
      <c r="F170">
        <v>9</v>
      </c>
      <c r="G170">
        <v>31</v>
      </c>
      <c r="H170">
        <f t="shared" si="6"/>
        <v>7.0000000000000007E-2</v>
      </c>
      <c r="I170">
        <f t="shared" si="7"/>
        <v>22998</v>
      </c>
      <c r="K170" t="str">
        <f t="shared" si="8"/>
        <v>No</v>
      </c>
    </row>
    <row r="171" spans="1:11" x14ac:dyDescent="0.3">
      <c r="A171" t="str">
        <f>Raw_Data!A171</f>
        <v>C170</v>
      </c>
      <c r="B171">
        <v>47919</v>
      </c>
      <c r="C171">
        <v>27032</v>
      </c>
      <c r="D171">
        <v>24</v>
      </c>
      <c r="E171" s="1">
        <v>0.09</v>
      </c>
      <c r="F171">
        <v>1</v>
      </c>
      <c r="G171">
        <v>56</v>
      </c>
      <c r="H171">
        <f t="shared" si="6"/>
        <v>0.09</v>
      </c>
      <c r="I171">
        <f t="shared" si="7"/>
        <v>27032</v>
      </c>
      <c r="K171" t="str">
        <f t="shared" si="8"/>
        <v>No</v>
      </c>
    </row>
    <row r="172" spans="1:11" x14ac:dyDescent="0.3">
      <c r="A172" t="str">
        <f>Raw_Data!A172</f>
        <v>C171</v>
      </c>
      <c r="B172">
        <v>44983</v>
      </c>
      <c r="C172">
        <v>10855</v>
      </c>
      <c r="D172">
        <v>6</v>
      </c>
      <c r="E172" s="1">
        <v>7.0000000000000007E-2</v>
      </c>
      <c r="F172">
        <v>11</v>
      </c>
      <c r="G172">
        <v>71</v>
      </c>
      <c r="H172">
        <f t="shared" si="6"/>
        <v>7.0000000000000007E-2</v>
      </c>
      <c r="I172">
        <f t="shared" si="7"/>
        <v>10855</v>
      </c>
      <c r="K172" t="str">
        <f t="shared" si="8"/>
        <v>No</v>
      </c>
    </row>
    <row r="173" spans="1:11" x14ac:dyDescent="0.3">
      <c r="A173" t="str">
        <f>Raw_Data!A173</f>
        <v>C172</v>
      </c>
      <c r="B173">
        <v>21287</v>
      </c>
      <c r="C173">
        <v>17452</v>
      </c>
      <c r="D173">
        <v>1</v>
      </c>
      <c r="E173" s="1" t="s">
        <v>106</v>
      </c>
      <c r="F173">
        <v>4</v>
      </c>
      <c r="G173">
        <v>71</v>
      </c>
      <c r="H173">
        <f t="shared" si="6"/>
        <v>0.01</v>
      </c>
      <c r="I173">
        <f t="shared" si="7"/>
        <v>17452</v>
      </c>
      <c r="K173" t="str">
        <f t="shared" si="8"/>
        <v>No</v>
      </c>
    </row>
    <row r="174" spans="1:11" x14ac:dyDescent="0.3">
      <c r="A174" t="str">
        <f>Raw_Data!A174</f>
        <v>C173</v>
      </c>
      <c r="B174">
        <v>22288</v>
      </c>
      <c r="C174">
        <v>11440</v>
      </c>
      <c r="D174">
        <v>23</v>
      </c>
      <c r="E174" s="1">
        <v>0.1</v>
      </c>
      <c r="F174">
        <v>3</v>
      </c>
      <c r="G174">
        <v>2</v>
      </c>
      <c r="H174">
        <f t="shared" si="6"/>
        <v>0.1</v>
      </c>
      <c r="I174">
        <f t="shared" si="7"/>
        <v>11440</v>
      </c>
      <c r="K174" t="str">
        <f t="shared" si="8"/>
        <v>No</v>
      </c>
    </row>
    <row r="175" spans="1:11" x14ac:dyDescent="0.3">
      <c r="A175" t="str">
        <f>Raw_Data!A175</f>
        <v>C174</v>
      </c>
      <c r="B175">
        <v>39126</v>
      </c>
      <c r="C175">
        <v>9709</v>
      </c>
      <c r="D175">
        <v>28</v>
      </c>
      <c r="E175" s="1" t="s">
        <v>147</v>
      </c>
      <c r="F175">
        <v>13</v>
      </c>
      <c r="G175">
        <v>69</v>
      </c>
      <c r="H175">
        <f t="shared" si="6"/>
        <v>0.11</v>
      </c>
      <c r="I175">
        <f t="shared" si="7"/>
        <v>9709</v>
      </c>
      <c r="K175" t="str">
        <f t="shared" si="8"/>
        <v>No</v>
      </c>
    </row>
    <row r="176" spans="1:11" x14ac:dyDescent="0.3">
      <c r="A176" t="str">
        <f>Raw_Data!A176</f>
        <v>C175</v>
      </c>
      <c r="B176">
        <v>46757</v>
      </c>
      <c r="C176">
        <v>17149</v>
      </c>
      <c r="D176">
        <v>8</v>
      </c>
      <c r="E176" s="1" t="s">
        <v>205</v>
      </c>
      <c r="F176">
        <v>14</v>
      </c>
      <c r="G176">
        <v>57</v>
      </c>
      <c r="H176">
        <f t="shared" si="6"/>
        <v>0.18</v>
      </c>
      <c r="I176">
        <f t="shared" si="7"/>
        <v>17149</v>
      </c>
      <c r="K176" t="str">
        <f t="shared" si="8"/>
        <v>No</v>
      </c>
    </row>
    <row r="177" spans="1:11" x14ac:dyDescent="0.3">
      <c r="A177" t="str">
        <f>Raw_Data!A177</f>
        <v>C176</v>
      </c>
      <c r="B177">
        <v>30720</v>
      </c>
      <c r="C177">
        <v>16445</v>
      </c>
      <c r="D177">
        <v>8</v>
      </c>
      <c r="E177" s="1">
        <v>0.28000000000000003</v>
      </c>
      <c r="F177">
        <v>7</v>
      </c>
      <c r="G177">
        <v>24</v>
      </c>
      <c r="H177">
        <f t="shared" si="6"/>
        <v>0.28000000000000003</v>
      </c>
      <c r="I177">
        <f t="shared" si="7"/>
        <v>16445</v>
      </c>
      <c r="K177" t="str">
        <f t="shared" si="8"/>
        <v>No</v>
      </c>
    </row>
    <row r="178" spans="1:11" x14ac:dyDescent="0.3">
      <c r="A178" t="str">
        <f>Raw_Data!A178</f>
        <v>C177</v>
      </c>
      <c r="B178">
        <v>28495</v>
      </c>
      <c r="C178">
        <v>21861</v>
      </c>
      <c r="D178">
        <v>26</v>
      </c>
      <c r="E178" s="1" t="s">
        <v>47</v>
      </c>
      <c r="F178">
        <v>8</v>
      </c>
      <c r="G178">
        <v>34</v>
      </c>
      <c r="H178">
        <f t="shared" si="6"/>
        <v>0.24</v>
      </c>
      <c r="I178">
        <f t="shared" si="7"/>
        <v>21861</v>
      </c>
      <c r="K178" t="str">
        <f t="shared" si="8"/>
        <v>No</v>
      </c>
    </row>
    <row r="179" spans="1:11" x14ac:dyDescent="0.3">
      <c r="A179" t="str">
        <f>Raw_Data!A179</f>
        <v>C178</v>
      </c>
      <c r="B179">
        <v>45461</v>
      </c>
      <c r="C179">
        <v>11847</v>
      </c>
      <c r="D179">
        <v>18</v>
      </c>
      <c r="E179" s="1" t="s">
        <v>147</v>
      </c>
      <c r="F179">
        <v>8</v>
      </c>
      <c r="G179">
        <v>10</v>
      </c>
      <c r="H179">
        <f t="shared" si="6"/>
        <v>0.11</v>
      </c>
      <c r="I179">
        <f t="shared" si="7"/>
        <v>11847</v>
      </c>
      <c r="K179" t="str">
        <f t="shared" si="8"/>
        <v>No</v>
      </c>
    </row>
    <row r="180" spans="1:11" x14ac:dyDescent="0.3">
      <c r="A180" t="str">
        <f>Raw_Data!A180</f>
        <v>C179</v>
      </c>
      <c r="B180">
        <v>9398</v>
      </c>
      <c r="C180">
        <v>28590</v>
      </c>
      <c r="D180">
        <v>12</v>
      </c>
      <c r="E180" s="1">
        <v>0.11</v>
      </c>
      <c r="F180">
        <v>10</v>
      </c>
      <c r="G180">
        <v>67</v>
      </c>
      <c r="H180">
        <f t="shared" si="6"/>
        <v>0.11</v>
      </c>
      <c r="I180">
        <f t="shared" si="7"/>
        <v>28590</v>
      </c>
      <c r="K180" t="str">
        <f t="shared" si="8"/>
        <v>No</v>
      </c>
    </row>
    <row r="181" spans="1:11" x14ac:dyDescent="0.3">
      <c r="A181" t="str">
        <f>Raw_Data!A181</f>
        <v>C180</v>
      </c>
      <c r="B181">
        <v>29494</v>
      </c>
      <c r="C181">
        <v>27789</v>
      </c>
      <c r="D181">
        <v>22</v>
      </c>
      <c r="E181" s="1" t="s">
        <v>72</v>
      </c>
      <c r="F181">
        <v>13</v>
      </c>
      <c r="G181">
        <v>21</v>
      </c>
      <c r="H181">
        <f t="shared" si="6"/>
        <v>0.1</v>
      </c>
      <c r="I181">
        <f t="shared" si="7"/>
        <v>27789</v>
      </c>
      <c r="K181" t="str">
        <f t="shared" si="8"/>
        <v>No</v>
      </c>
    </row>
    <row r="182" spans="1:11" x14ac:dyDescent="0.3">
      <c r="A182" t="str">
        <f>Raw_Data!A182</f>
        <v>C181</v>
      </c>
      <c r="B182">
        <v>36659</v>
      </c>
      <c r="C182">
        <v>25284</v>
      </c>
      <c r="D182">
        <v>7</v>
      </c>
      <c r="E182" s="1">
        <v>0.24</v>
      </c>
      <c r="F182">
        <v>19</v>
      </c>
      <c r="G182">
        <v>39</v>
      </c>
      <c r="H182">
        <f t="shared" si="6"/>
        <v>0.24</v>
      </c>
      <c r="I182">
        <f t="shared" si="7"/>
        <v>25284</v>
      </c>
      <c r="K182" t="str">
        <f t="shared" si="8"/>
        <v>No</v>
      </c>
    </row>
    <row r="183" spans="1:11" x14ac:dyDescent="0.3">
      <c r="A183" t="str">
        <f>Raw_Data!A183</f>
        <v>C182</v>
      </c>
      <c r="B183">
        <v>12477</v>
      </c>
      <c r="C183">
        <v>11630</v>
      </c>
      <c r="D183">
        <v>19</v>
      </c>
      <c r="E183" s="1" t="s">
        <v>147</v>
      </c>
      <c r="F183">
        <v>0</v>
      </c>
      <c r="G183">
        <v>47</v>
      </c>
      <c r="H183">
        <f t="shared" si="6"/>
        <v>0.11</v>
      </c>
      <c r="I183">
        <f t="shared" si="7"/>
        <v>11630</v>
      </c>
      <c r="K183" t="str">
        <f t="shared" si="8"/>
        <v>No</v>
      </c>
    </row>
    <row r="184" spans="1:11" x14ac:dyDescent="0.3">
      <c r="A184" t="str">
        <f>Raw_Data!A184</f>
        <v>C183</v>
      </c>
      <c r="B184">
        <v>24867</v>
      </c>
      <c r="C184">
        <v>3755</v>
      </c>
      <c r="D184">
        <v>26</v>
      </c>
      <c r="E184" s="1">
        <v>0.06</v>
      </c>
      <c r="F184">
        <v>4</v>
      </c>
      <c r="G184">
        <v>44</v>
      </c>
      <c r="H184">
        <f t="shared" si="6"/>
        <v>0.06</v>
      </c>
      <c r="I184">
        <f t="shared" si="7"/>
        <v>3755</v>
      </c>
      <c r="K184" t="str">
        <f t="shared" si="8"/>
        <v>No</v>
      </c>
    </row>
    <row r="185" spans="1:11" x14ac:dyDescent="0.3">
      <c r="A185" t="str">
        <f>Raw_Data!A185</f>
        <v>C184</v>
      </c>
      <c r="B185">
        <v>5928</v>
      </c>
      <c r="C185">
        <v>14362</v>
      </c>
      <c r="D185">
        <v>19</v>
      </c>
      <c r="E185" s="1">
        <v>0.3</v>
      </c>
      <c r="F185">
        <v>15</v>
      </c>
      <c r="G185">
        <v>13</v>
      </c>
      <c r="H185">
        <f t="shared" si="6"/>
        <v>0.3</v>
      </c>
      <c r="I185">
        <f t="shared" si="7"/>
        <v>14362</v>
      </c>
      <c r="K185" t="str">
        <f t="shared" si="8"/>
        <v>No</v>
      </c>
    </row>
    <row r="186" spans="1:11" x14ac:dyDescent="0.3">
      <c r="A186" t="str">
        <f>Raw_Data!A186</f>
        <v>C185</v>
      </c>
      <c r="B186">
        <v>29946</v>
      </c>
      <c r="C186">
        <v>22636</v>
      </c>
      <c r="D186">
        <v>23</v>
      </c>
      <c r="E186" s="1">
        <v>0.13</v>
      </c>
      <c r="F186">
        <v>10</v>
      </c>
      <c r="G186">
        <v>37</v>
      </c>
      <c r="H186">
        <f t="shared" si="6"/>
        <v>0.13</v>
      </c>
      <c r="I186">
        <f t="shared" si="7"/>
        <v>22636</v>
      </c>
      <c r="K186" t="str">
        <f t="shared" si="8"/>
        <v>No</v>
      </c>
    </row>
    <row r="187" spans="1:11" x14ac:dyDescent="0.3">
      <c r="A187" t="str">
        <f>Raw_Data!A187</f>
        <v>C186</v>
      </c>
      <c r="B187">
        <v>43525</v>
      </c>
      <c r="C187">
        <v>17035</v>
      </c>
      <c r="D187">
        <v>12</v>
      </c>
      <c r="E187" s="1" t="s">
        <v>23</v>
      </c>
      <c r="F187">
        <v>6</v>
      </c>
      <c r="G187">
        <v>57</v>
      </c>
      <c r="H187">
        <f t="shared" si="6"/>
        <v>0.21</v>
      </c>
      <c r="I187">
        <f t="shared" si="7"/>
        <v>17035</v>
      </c>
      <c r="K187" t="str">
        <f t="shared" si="8"/>
        <v>No</v>
      </c>
    </row>
    <row r="188" spans="1:11" x14ac:dyDescent="0.3">
      <c r="A188" t="str">
        <f>Raw_Data!A188</f>
        <v>C187</v>
      </c>
      <c r="B188">
        <v>10799</v>
      </c>
      <c r="C188">
        <v>4052</v>
      </c>
      <c r="D188">
        <v>14</v>
      </c>
      <c r="E188" s="1" t="s">
        <v>100</v>
      </c>
      <c r="F188">
        <v>4</v>
      </c>
      <c r="G188">
        <v>2</v>
      </c>
      <c r="H188">
        <f t="shared" si="6"/>
        <v>0.04</v>
      </c>
      <c r="I188">
        <f t="shared" si="7"/>
        <v>4052</v>
      </c>
      <c r="K188" t="str">
        <f t="shared" si="8"/>
        <v>No</v>
      </c>
    </row>
    <row r="189" spans="1:11" x14ac:dyDescent="0.3">
      <c r="A189" t="str">
        <f>Raw_Data!A189</f>
        <v>C188</v>
      </c>
      <c r="B189">
        <v>1914</v>
      </c>
      <c r="C189">
        <v>29848</v>
      </c>
      <c r="D189">
        <v>11</v>
      </c>
      <c r="E189" s="1" t="s">
        <v>69</v>
      </c>
      <c r="F189">
        <v>18</v>
      </c>
      <c r="G189">
        <v>41</v>
      </c>
      <c r="H189">
        <f t="shared" si="6"/>
        <v>0.25</v>
      </c>
      <c r="I189">
        <f t="shared" si="7"/>
        <v>29848</v>
      </c>
      <c r="K189" t="str">
        <f t="shared" si="8"/>
        <v>No</v>
      </c>
    </row>
    <row r="190" spans="1:11" x14ac:dyDescent="0.3">
      <c r="A190" t="str">
        <f>Raw_Data!A190</f>
        <v>C189</v>
      </c>
      <c r="B190">
        <v>43344</v>
      </c>
      <c r="C190">
        <v>19782</v>
      </c>
      <c r="D190">
        <v>1</v>
      </c>
      <c r="E190" s="1">
        <v>0.28999999999999998</v>
      </c>
      <c r="F190">
        <v>16</v>
      </c>
      <c r="G190">
        <v>42</v>
      </c>
      <c r="H190">
        <f t="shared" si="6"/>
        <v>0.28999999999999998</v>
      </c>
      <c r="I190">
        <f t="shared" si="7"/>
        <v>19782</v>
      </c>
      <c r="K190" t="str">
        <f t="shared" si="8"/>
        <v>No</v>
      </c>
    </row>
    <row r="191" spans="1:11" x14ac:dyDescent="0.3">
      <c r="A191" t="str">
        <f>Raw_Data!A191</f>
        <v>C190</v>
      </c>
      <c r="B191">
        <v>27307</v>
      </c>
      <c r="C191">
        <v>25758</v>
      </c>
      <c r="D191">
        <v>8</v>
      </c>
      <c r="E191" s="1" t="s">
        <v>62</v>
      </c>
      <c r="F191">
        <v>16</v>
      </c>
      <c r="G191">
        <v>35</v>
      </c>
      <c r="H191">
        <f t="shared" si="6"/>
        <v>0.17</v>
      </c>
      <c r="I191">
        <f t="shared" si="7"/>
        <v>25758</v>
      </c>
      <c r="K191" t="str">
        <f t="shared" si="8"/>
        <v>No</v>
      </c>
    </row>
    <row r="192" spans="1:11" x14ac:dyDescent="0.3">
      <c r="A192" t="str">
        <f>Raw_Data!A192</f>
        <v>C191</v>
      </c>
      <c r="B192">
        <v>47545</v>
      </c>
      <c r="C192">
        <v>22756</v>
      </c>
      <c r="D192">
        <v>16</v>
      </c>
      <c r="E192" s="1">
        <v>0.24</v>
      </c>
      <c r="F192">
        <v>18</v>
      </c>
      <c r="G192">
        <v>66</v>
      </c>
      <c r="H192">
        <f t="shared" si="6"/>
        <v>0.24</v>
      </c>
      <c r="I192">
        <f t="shared" si="7"/>
        <v>22756</v>
      </c>
      <c r="K192" t="str">
        <f t="shared" si="8"/>
        <v>No</v>
      </c>
    </row>
    <row r="193" spans="1:11" x14ac:dyDescent="0.3">
      <c r="A193" t="str">
        <f>Raw_Data!A193</f>
        <v>C192</v>
      </c>
      <c r="B193">
        <v>36921</v>
      </c>
      <c r="C193">
        <v>6281</v>
      </c>
      <c r="D193">
        <v>16</v>
      </c>
      <c r="E193" s="1">
        <v>0.16</v>
      </c>
      <c r="F193">
        <v>6</v>
      </c>
      <c r="G193">
        <v>64</v>
      </c>
      <c r="H193">
        <f t="shared" si="6"/>
        <v>0.16</v>
      </c>
      <c r="I193">
        <f t="shared" si="7"/>
        <v>6281</v>
      </c>
      <c r="K193" t="str">
        <f t="shared" si="8"/>
        <v>No</v>
      </c>
    </row>
    <row r="194" spans="1:11" x14ac:dyDescent="0.3">
      <c r="A194" t="str">
        <f>Raw_Data!A194</f>
        <v>C193</v>
      </c>
      <c r="B194">
        <v>30495</v>
      </c>
      <c r="C194">
        <v>23501</v>
      </c>
      <c r="D194">
        <v>9</v>
      </c>
      <c r="E194" s="1">
        <v>0.18</v>
      </c>
      <c r="F194">
        <v>18</v>
      </c>
      <c r="G194">
        <v>58</v>
      </c>
      <c r="H194">
        <f t="shared" si="6"/>
        <v>0.18</v>
      </c>
      <c r="I194">
        <f t="shared" si="7"/>
        <v>23501</v>
      </c>
      <c r="K194" t="str">
        <f t="shared" si="8"/>
        <v>No</v>
      </c>
    </row>
    <row r="195" spans="1:11" x14ac:dyDescent="0.3">
      <c r="A195" t="str">
        <f>Raw_Data!A195</f>
        <v>C194</v>
      </c>
      <c r="B195">
        <v>26162</v>
      </c>
      <c r="C195" t="s">
        <v>46</v>
      </c>
      <c r="D195">
        <v>26</v>
      </c>
      <c r="E195" s="1">
        <v>0.25</v>
      </c>
      <c r="F195">
        <v>10</v>
      </c>
      <c r="G195">
        <v>65</v>
      </c>
      <c r="H195">
        <f t="shared" ref="H195:H201" si="9">IF(ISNUMBER(SEARCH("%",E195)), VALUE(SUBSTITUTE(E195,"%",""))/100, E195)</f>
        <v>0.25</v>
      </c>
      <c r="I195">
        <f t="shared" ref="I195:I201" si="10">IF(C195="", $J$2, C195)</f>
        <v>16549</v>
      </c>
      <c r="K195" t="str">
        <f t="shared" ref="K195:K201" si="11">IF(B195&gt;PERCENTILE($B:$B,0.95),"Yes","No")</f>
        <v>No</v>
      </c>
    </row>
    <row r="196" spans="1:11" x14ac:dyDescent="0.3">
      <c r="A196" t="str">
        <f>Raw_Data!A196</f>
        <v>C195</v>
      </c>
      <c r="B196">
        <v>13610</v>
      </c>
      <c r="C196">
        <v>22390</v>
      </c>
      <c r="D196">
        <v>26</v>
      </c>
      <c r="E196" s="1" t="s">
        <v>56</v>
      </c>
      <c r="F196">
        <v>16</v>
      </c>
      <c r="G196">
        <v>15</v>
      </c>
      <c r="H196">
        <f t="shared" si="9"/>
        <v>0.23</v>
      </c>
      <c r="I196">
        <f t="shared" si="10"/>
        <v>22390</v>
      </c>
      <c r="K196" t="str">
        <f t="shared" si="11"/>
        <v>No</v>
      </c>
    </row>
    <row r="197" spans="1:11" x14ac:dyDescent="0.3">
      <c r="A197" t="str">
        <f>Raw_Data!A197</f>
        <v>C196</v>
      </c>
      <c r="B197">
        <v>23972</v>
      </c>
      <c r="C197">
        <v>26902</v>
      </c>
      <c r="D197">
        <v>18</v>
      </c>
      <c r="E197" s="1">
        <v>0.04</v>
      </c>
      <c r="F197">
        <v>10</v>
      </c>
      <c r="G197">
        <v>43</v>
      </c>
      <c r="H197">
        <f t="shared" si="9"/>
        <v>0.04</v>
      </c>
      <c r="I197">
        <f t="shared" si="10"/>
        <v>26902</v>
      </c>
      <c r="K197" t="str">
        <f t="shared" si="11"/>
        <v>No</v>
      </c>
    </row>
    <row r="198" spans="1:11" x14ac:dyDescent="0.3">
      <c r="A198" t="str">
        <f>Raw_Data!A198</f>
        <v>C197</v>
      </c>
      <c r="B198">
        <v>26196</v>
      </c>
      <c r="C198">
        <v>29768</v>
      </c>
      <c r="D198">
        <v>19</v>
      </c>
      <c r="E198" s="1" t="s">
        <v>149</v>
      </c>
      <c r="F198">
        <v>13</v>
      </c>
      <c r="G198">
        <v>23</v>
      </c>
      <c r="H198">
        <f t="shared" si="9"/>
        <v>0.05</v>
      </c>
      <c r="I198">
        <f t="shared" si="10"/>
        <v>29768</v>
      </c>
      <c r="K198" t="str">
        <f t="shared" si="11"/>
        <v>No</v>
      </c>
    </row>
    <row r="199" spans="1:11" x14ac:dyDescent="0.3">
      <c r="A199" t="str">
        <f>Raw_Data!A199</f>
        <v>C198</v>
      </c>
      <c r="B199">
        <v>16843</v>
      </c>
      <c r="C199">
        <v>543</v>
      </c>
      <c r="D199">
        <v>16</v>
      </c>
      <c r="E199" s="1">
        <v>0.13</v>
      </c>
      <c r="F199">
        <v>7</v>
      </c>
      <c r="G199">
        <v>64</v>
      </c>
      <c r="H199">
        <f t="shared" si="9"/>
        <v>0.13</v>
      </c>
      <c r="I199">
        <f t="shared" si="10"/>
        <v>543</v>
      </c>
      <c r="K199" t="str">
        <f t="shared" si="11"/>
        <v>No</v>
      </c>
    </row>
    <row r="200" spans="1:11" x14ac:dyDescent="0.3">
      <c r="A200" t="str">
        <f>Raw_Data!A200</f>
        <v>C199</v>
      </c>
      <c r="B200">
        <v>30398</v>
      </c>
      <c r="C200">
        <v>28694</v>
      </c>
      <c r="D200">
        <v>26</v>
      </c>
      <c r="E200" s="1" t="s">
        <v>149</v>
      </c>
      <c r="F200">
        <v>17</v>
      </c>
      <c r="G200">
        <v>7</v>
      </c>
      <c r="H200">
        <f t="shared" si="9"/>
        <v>0.05</v>
      </c>
      <c r="I200">
        <f t="shared" si="10"/>
        <v>28694</v>
      </c>
      <c r="K200" t="str">
        <f t="shared" si="11"/>
        <v>No</v>
      </c>
    </row>
    <row r="201" spans="1:11" x14ac:dyDescent="0.3">
      <c r="A201" t="str">
        <f>Raw_Data!A201</f>
        <v>C200</v>
      </c>
      <c r="B201">
        <v>29872</v>
      </c>
      <c r="C201">
        <v>16653</v>
      </c>
      <c r="D201">
        <v>15</v>
      </c>
      <c r="E201" s="1" t="s">
        <v>120</v>
      </c>
      <c r="F201">
        <v>3</v>
      </c>
      <c r="G201">
        <v>69</v>
      </c>
      <c r="H201">
        <f t="shared" si="9"/>
        <v>0.02</v>
      </c>
      <c r="I201">
        <f t="shared" si="10"/>
        <v>16653</v>
      </c>
      <c r="K201" t="str">
        <f t="shared" si="11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7E665-C888-4EF8-B20A-E71CCAFE4E85}">
  <dimension ref="A1:K202"/>
  <sheetViews>
    <sheetView topLeftCell="A2" zoomScale="108" workbookViewId="0">
      <selection activeCell="K2" sqref="K2"/>
    </sheetView>
  </sheetViews>
  <sheetFormatPr defaultRowHeight="14.4" x14ac:dyDescent="0.3"/>
  <cols>
    <col min="1" max="1" width="14.77734375" customWidth="1"/>
    <col min="2" max="2" width="12.44140625" customWidth="1"/>
    <col min="3" max="3" width="15.5546875" customWidth="1"/>
    <col min="4" max="4" width="18" customWidth="1"/>
    <col min="5" max="5" width="16.88671875" customWidth="1"/>
    <col min="6" max="6" width="17.88671875" customWidth="1"/>
    <col min="7" max="7" width="16.33203125" customWidth="1"/>
    <col min="8" max="8" width="25.77734375" customWidth="1"/>
    <col min="9" max="9" width="20.33203125" customWidth="1"/>
    <col min="10" max="10" width="21.21875" customWidth="1"/>
    <col min="11" max="11" width="22" customWidth="1"/>
    <col min="12" max="12" width="18.33203125" customWidth="1"/>
  </cols>
  <sheetData>
    <row r="1" spans="1:11" x14ac:dyDescent="0.3">
      <c r="A1" s="11" t="s">
        <v>293</v>
      </c>
      <c r="B1" s="11"/>
      <c r="C1" s="11"/>
      <c r="D1" s="11"/>
      <c r="E1" s="11"/>
      <c r="F1" s="11"/>
      <c r="G1" s="11"/>
      <c r="H1" s="11"/>
      <c r="I1" s="11"/>
      <c r="J1" s="11"/>
    </row>
    <row r="2" spans="1:11" x14ac:dyDescent="0.3">
      <c r="A2" t="s">
        <v>0</v>
      </c>
      <c r="B2" t="s">
        <v>1</v>
      </c>
      <c r="C2" t="s">
        <v>240</v>
      </c>
      <c r="D2" t="s">
        <v>238</v>
      </c>
      <c r="E2" t="s">
        <v>242</v>
      </c>
      <c r="F2" t="s">
        <v>243</v>
      </c>
      <c r="G2" t="s">
        <v>244</v>
      </c>
      <c r="H2" t="s">
        <v>245</v>
      </c>
      <c r="I2" t="s">
        <v>246</v>
      </c>
      <c r="J2" t="s">
        <v>247</v>
      </c>
      <c r="K2" s="6"/>
    </row>
    <row r="3" spans="1:11" x14ac:dyDescent="0.3">
      <c r="A3" t="str">
        <f>Clean_Data!A2</f>
        <v>C001</v>
      </c>
      <c r="B3">
        <f>Clean_Data!B2</f>
        <v>2658</v>
      </c>
      <c r="C3">
        <f>Clean_Data!I2</f>
        <v>21973</v>
      </c>
      <c r="D3">
        <f>Clean_Data!H2</f>
        <v>0.22</v>
      </c>
      <c r="E3">
        <f>B3-C3</f>
        <v>-19315</v>
      </c>
      <c r="F3">
        <f>PERCENTILE(B:B,0.75)</f>
        <v>39153</v>
      </c>
      <c r="G3">
        <f>PERCENTILE(E:E,0.75)</f>
        <v>22865</v>
      </c>
      <c r="H3" t="str">
        <f>IF(AND(B3&gt;=$F$3, E3&gt;=$G$3),
"High Rev – High Profit",
IF(AND(B3&gt;=$F$3, E3&lt;$G$3),
"High Rev – Low Profit",
IF(AND(B3&lt;$F$3, E3&gt;=$G$3),
"Low Rev – High Profit",
"Low Rev – Low Profit")))</f>
        <v>Low Rev – Low Profit</v>
      </c>
      <c r="I3">
        <f>COUNTIF(H:H,"High Rev – Low Profit")</f>
        <v>15</v>
      </c>
      <c r="J3">
        <f>COUNTIF(H:H,"High Rev – High Profit")</f>
        <v>35</v>
      </c>
    </row>
    <row r="4" spans="1:11" x14ac:dyDescent="0.3">
      <c r="A4" t="str">
        <f>Clean_Data!A3</f>
        <v>C002</v>
      </c>
      <c r="B4">
        <f>Clean_Data!B3</f>
        <v>5103</v>
      </c>
      <c r="C4">
        <f>Clean_Data!I3</f>
        <v>14484</v>
      </c>
      <c r="D4">
        <f>Clean_Data!H3</f>
        <v>0.15</v>
      </c>
      <c r="E4">
        <f t="shared" ref="E4:E67" si="0">B4-C4</f>
        <v>-9381</v>
      </c>
      <c r="H4" t="str">
        <f t="shared" ref="H4:H67" si="1">IF(AND(B4&gt;=$F$3, E4&gt;=$G$3),
"High Rev – High Profit",
IF(AND(B4&gt;=$F$3, E4&lt;$G$3),
"High Rev – Low Profit",
IF(AND(B4&lt;$F$3, E4&gt;=$G$3),
"Low Rev – High Profit",
"Low Rev – Low Profit")))</f>
        <v>Low Rev – Low Profit</v>
      </c>
    </row>
    <row r="5" spans="1:11" x14ac:dyDescent="0.3">
      <c r="A5" t="str">
        <f>Clean_Data!A4</f>
        <v>C003</v>
      </c>
      <c r="B5">
        <f>Clean_Data!B4</f>
        <v>25079</v>
      </c>
      <c r="C5">
        <f>Clean_Data!I4</f>
        <v>27280</v>
      </c>
      <c r="D5">
        <f>Clean_Data!H4</f>
        <v>0.18</v>
      </c>
      <c r="E5">
        <f t="shared" si="0"/>
        <v>-2201</v>
      </c>
      <c r="H5" t="str">
        <f t="shared" si="1"/>
        <v>Low Rev – Low Profit</v>
      </c>
    </row>
    <row r="6" spans="1:11" x14ac:dyDescent="0.3">
      <c r="A6" t="str">
        <f>Clean_Data!A5</f>
        <v>C004</v>
      </c>
      <c r="B6">
        <f>Clean_Data!B5</f>
        <v>16960</v>
      </c>
      <c r="C6">
        <f>Clean_Data!I5</f>
        <v>26875</v>
      </c>
      <c r="D6">
        <f>Clean_Data!H5</f>
        <v>0.21</v>
      </c>
      <c r="E6">
        <f t="shared" si="0"/>
        <v>-9915</v>
      </c>
      <c r="H6" t="str">
        <f t="shared" si="1"/>
        <v>Low Rev – Low Profit</v>
      </c>
    </row>
    <row r="7" spans="1:11" x14ac:dyDescent="0.3">
      <c r="A7" t="str">
        <f>Clean_Data!A6</f>
        <v>C005</v>
      </c>
      <c r="B7">
        <f>Clean_Data!B6</f>
        <v>30841</v>
      </c>
      <c r="C7">
        <f>Clean_Data!I6</f>
        <v>7986</v>
      </c>
      <c r="D7">
        <f>Clean_Data!H6</f>
        <v>0.12</v>
      </c>
      <c r="E7">
        <f t="shared" si="0"/>
        <v>22855</v>
      </c>
      <c r="H7" t="str">
        <f t="shared" si="1"/>
        <v>Low Rev – Low Profit</v>
      </c>
    </row>
    <row r="8" spans="1:11" x14ac:dyDescent="0.3">
      <c r="A8" t="str">
        <f>Clean_Data!A7</f>
        <v>C006</v>
      </c>
      <c r="B8">
        <f>Clean_Data!B7</f>
        <v>25139</v>
      </c>
      <c r="C8">
        <f>Clean_Data!I7</f>
        <v>19876</v>
      </c>
      <c r="D8">
        <f>Clean_Data!H7</f>
        <v>0.12</v>
      </c>
      <c r="E8">
        <f t="shared" si="0"/>
        <v>5263</v>
      </c>
      <c r="H8" t="str">
        <f t="shared" si="1"/>
        <v>Low Rev – Low Profit</v>
      </c>
    </row>
    <row r="9" spans="1:11" x14ac:dyDescent="0.3">
      <c r="A9" t="str">
        <f>Clean_Data!A8</f>
        <v>C007</v>
      </c>
      <c r="B9">
        <f>Clean_Data!B8</f>
        <v>11116</v>
      </c>
      <c r="C9">
        <f>Clean_Data!I8</f>
        <v>10808</v>
      </c>
      <c r="D9">
        <f>Clean_Data!H8</f>
        <v>0.25</v>
      </c>
      <c r="E9">
        <f t="shared" si="0"/>
        <v>308</v>
      </c>
      <c r="H9" t="str">
        <f t="shared" si="1"/>
        <v>Low Rev – Low Profit</v>
      </c>
    </row>
    <row r="10" spans="1:11" x14ac:dyDescent="0.3">
      <c r="A10" t="str">
        <f>Clean_Data!A9</f>
        <v>C008</v>
      </c>
      <c r="B10">
        <f>Clean_Data!B9</f>
        <v>44869</v>
      </c>
      <c r="C10">
        <f>Clean_Data!I9</f>
        <v>16868</v>
      </c>
      <c r="D10">
        <f>Clean_Data!H9</f>
        <v>0.24</v>
      </c>
      <c r="E10">
        <f t="shared" si="0"/>
        <v>28001</v>
      </c>
      <c r="H10" t="str">
        <f t="shared" si="1"/>
        <v>High Rev – High Profit</v>
      </c>
    </row>
    <row r="11" spans="1:11" x14ac:dyDescent="0.3">
      <c r="A11" t="str">
        <f>Clean_Data!A10</f>
        <v>C009</v>
      </c>
      <c r="B11">
        <f>Clean_Data!B10</f>
        <v>40105</v>
      </c>
      <c r="C11">
        <f>Clean_Data!I10</f>
        <v>2256</v>
      </c>
      <c r="D11">
        <f>Clean_Data!H10</f>
        <v>0.25</v>
      </c>
      <c r="E11">
        <f t="shared" si="0"/>
        <v>37849</v>
      </c>
      <c r="H11" t="str">
        <f t="shared" si="1"/>
        <v>High Rev – High Profit</v>
      </c>
    </row>
    <row r="12" spans="1:11" x14ac:dyDescent="0.3">
      <c r="A12" t="str">
        <f>Clean_Data!A11</f>
        <v>C010</v>
      </c>
      <c r="B12">
        <f>Clean_Data!B11</f>
        <v>48507</v>
      </c>
      <c r="C12">
        <f>Clean_Data!I11</f>
        <v>7943</v>
      </c>
      <c r="D12">
        <f>Clean_Data!H11</f>
        <v>0.17</v>
      </c>
      <c r="E12">
        <f t="shared" si="0"/>
        <v>40564</v>
      </c>
      <c r="H12" t="str">
        <f t="shared" si="1"/>
        <v>High Rev – High Profit</v>
      </c>
    </row>
    <row r="13" spans="1:11" x14ac:dyDescent="0.3">
      <c r="A13" t="str">
        <f>Clean_Data!A12</f>
        <v>C011</v>
      </c>
      <c r="B13">
        <f>Clean_Data!B12</f>
        <v>12530</v>
      </c>
      <c r="C13">
        <f>Clean_Data!I12</f>
        <v>23509</v>
      </c>
      <c r="E13">
        <f t="shared" si="0"/>
        <v>-10979</v>
      </c>
      <c r="H13" t="str">
        <f t="shared" si="1"/>
        <v>Low Rev – Low Profit</v>
      </c>
    </row>
    <row r="14" spans="1:11" x14ac:dyDescent="0.3">
      <c r="A14" t="str">
        <f>Clean_Data!A13</f>
        <v>C012</v>
      </c>
      <c r="B14">
        <f>Clean_Data!B13</f>
        <v>13702</v>
      </c>
      <c r="C14">
        <f>Clean_Data!I13</f>
        <v>24076</v>
      </c>
      <c r="D14">
        <f>Clean_Data!H13</f>
        <v>0.06</v>
      </c>
      <c r="E14">
        <f t="shared" si="0"/>
        <v>-10374</v>
      </c>
      <c r="H14" t="str">
        <f t="shared" si="1"/>
        <v>Low Rev – Low Profit</v>
      </c>
    </row>
    <row r="15" spans="1:11" x14ac:dyDescent="0.3">
      <c r="A15" t="str">
        <f>Clean_Data!A14</f>
        <v>C013</v>
      </c>
      <c r="B15">
        <f>Clean_Data!B14</f>
        <v>49946</v>
      </c>
      <c r="C15">
        <f>Clean_Data!I14</f>
        <v>22297</v>
      </c>
      <c r="D15">
        <f>Clean_Data!H14</f>
        <v>0.21</v>
      </c>
      <c r="E15">
        <f t="shared" si="0"/>
        <v>27649</v>
      </c>
      <c r="H15" t="str">
        <f t="shared" si="1"/>
        <v>High Rev – High Profit</v>
      </c>
    </row>
    <row r="16" spans="1:11" x14ac:dyDescent="0.3">
      <c r="A16" t="str">
        <f>Clean_Data!A15</f>
        <v>C014</v>
      </c>
      <c r="B16">
        <f>Clean_Data!B15</f>
        <v>2841</v>
      </c>
      <c r="C16">
        <f>Clean_Data!I15</f>
        <v>5160</v>
      </c>
      <c r="D16">
        <f>Clean_Data!H15</f>
        <v>0.14000000000000001</v>
      </c>
      <c r="E16">
        <f t="shared" si="0"/>
        <v>-2319</v>
      </c>
      <c r="H16" t="str">
        <f t="shared" si="1"/>
        <v>Low Rev – Low Profit</v>
      </c>
    </row>
    <row r="17" spans="1:8" x14ac:dyDescent="0.3">
      <c r="A17" t="str">
        <f>Clean_Data!A16</f>
        <v>C015</v>
      </c>
      <c r="B17">
        <f>Clean_Data!B16</f>
        <v>24430</v>
      </c>
      <c r="C17">
        <f>Clean_Data!I16</f>
        <v>19343</v>
      </c>
      <c r="D17">
        <f>Clean_Data!H16</f>
        <v>0.19</v>
      </c>
      <c r="E17">
        <f t="shared" si="0"/>
        <v>5087</v>
      </c>
      <c r="H17" t="str">
        <f t="shared" si="1"/>
        <v>Low Rev – Low Profit</v>
      </c>
    </row>
    <row r="18" spans="1:8" x14ac:dyDescent="0.3">
      <c r="A18" t="str">
        <f>Clean_Data!A17</f>
        <v>C016</v>
      </c>
      <c r="B18">
        <f>Clean_Data!B17</f>
        <v>43130</v>
      </c>
      <c r="C18">
        <f>Clean_Data!I17</f>
        <v>21994</v>
      </c>
      <c r="D18">
        <f>Clean_Data!H17</f>
        <v>0.13</v>
      </c>
      <c r="E18">
        <f t="shared" si="0"/>
        <v>21136</v>
      </c>
      <c r="H18" t="str">
        <f t="shared" si="1"/>
        <v>High Rev – Low Profit</v>
      </c>
    </row>
    <row r="19" spans="1:8" x14ac:dyDescent="0.3">
      <c r="A19" t="str">
        <f>Clean_Data!A18</f>
        <v>C017</v>
      </c>
      <c r="B19">
        <f>Clean_Data!B18</f>
        <v>41312</v>
      </c>
      <c r="C19">
        <f>Clean_Data!I18</f>
        <v>15974</v>
      </c>
      <c r="D19">
        <f>Clean_Data!H18</f>
        <v>0.13</v>
      </c>
      <c r="E19">
        <f t="shared" si="0"/>
        <v>25338</v>
      </c>
      <c r="H19" t="str">
        <f t="shared" si="1"/>
        <v>High Rev – High Profit</v>
      </c>
    </row>
    <row r="20" spans="1:8" x14ac:dyDescent="0.3">
      <c r="A20" t="str">
        <f>Clean_Data!A19</f>
        <v>C018</v>
      </c>
      <c r="B20">
        <f>Clean_Data!B19</f>
        <v>43466</v>
      </c>
      <c r="C20">
        <f>Clean_Data!I19</f>
        <v>19122</v>
      </c>
      <c r="D20">
        <f>Clean_Data!H19</f>
        <v>0.13</v>
      </c>
      <c r="E20">
        <f t="shared" si="0"/>
        <v>24344</v>
      </c>
      <c r="H20" t="str">
        <f t="shared" si="1"/>
        <v>High Rev – High Profit</v>
      </c>
    </row>
    <row r="21" spans="1:8" x14ac:dyDescent="0.3">
      <c r="A21" t="str">
        <f>Clean_Data!A20</f>
        <v>C019</v>
      </c>
      <c r="B21">
        <f>Clean_Data!B20</f>
        <v>6420</v>
      </c>
      <c r="C21">
        <f>Clean_Data!I20</f>
        <v>14730</v>
      </c>
      <c r="D21">
        <f>Clean_Data!H20</f>
        <v>0.02</v>
      </c>
      <c r="E21">
        <f t="shared" si="0"/>
        <v>-8310</v>
      </c>
      <c r="H21" t="str">
        <f t="shared" si="1"/>
        <v>Low Rev – Low Profit</v>
      </c>
    </row>
    <row r="22" spans="1:8" x14ac:dyDescent="0.3">
      <c r="A22" t="str">
        <f>Clean_Data!A21</f>
        <v>C020</v>
      </c>
      <c r="B22">
        <f>Clean_Data!B21</f>
        <v>38243</v>
      </c>
      <c r="C22">
        <f>Clean_Data!I21</f>
        <v>7779</v>
      </c>
      <c r="D22">
        <f>Clean_Data!H21</f>
        <v>0.06</v>
      </c>
      <c r="E22">
        <f t="shared" si="0"/>
        <v>30464</v>
      </c>
      <c r="H22" t="str">
        <f t="shared" si="1"/>
        <v>Low Rev – High Profit</v>
      </c>
    </row>
    <row r="23" spans="1:8" x14ac:dyDescent="0.3">
      <c r="A23" t="str">
        <f>Clean_Data!A22</f>
        <v>C021</v>
      </c>
      <c r="B23">
        <f>Clean_Data!B22</f>
        <v>47981</v>
      </c>
      <c r="C23">
        <f>Clean_Data!I22</f>
        <v>12177</v>
      </c>
      <c r="D23">
        <f>Clean_Data!H22</f>
        <v>0.25</v>
      </c>
      <c r="E23">
        <f t="shared" si="0"/>
        <v>35804</v>
      </c>
      <c r="H23" t="str">
        <f t="shared" si="1"/>
        <v>High Rev – High Profit</v>
      </c>
    </row>
    <row r="24" spans="1:8" x14ac:dyDescent="0.3">
      <c r="A24" t="str">
        <f>Clean_Data!A23</f>
        <v>C022</v>
      </c>
      <c r="B24">
        <f>Clean_Data!B23</f>
        <v>48072</v>
      </c>
      <c r="C24">
        <f>Clean_Data!I23</f>
        <v>27827</v>
      </c>
      <c r="D24">
        <f>Clean_Data!H23</f>
        <v>0.3</v>
      </c>
      <c r="E24">
        <f t="shared" si="0"/>
        <v>20245</v>
      </c>
      <c r="H24" t="str">
        <f t="shared" si="1"/>
        <v>High Rev – Low Profit</v>
      </c>
    </row>
    <row r="25" spans="1:8" x14ac:dyDescent="0.3">
      <c r="A25" t="str">
        <f>Clean_Data!A24</f>
        <v>C023</v>
      </c>
      <c r="B25">
        <f>Clean_Data!B24</f>
        <v>2729</v>
      </c>
      <c r="C25">
        <f>Clean_Data!I24</f>
        <v>28066</v>
      </c>
      <c r="D25">
        <f>Clean_Data!H24</f>
        <v>0.18</v>
      </c>
      <c r="E25">
        <f t="shared" si="0"/>
        <v>-25337</v>
      </c>
      <c r="H25" t="str">
        <f t="shared" si="1"/>
        <v>Low Rev – Low Profit</v>
      </c>
    </row>
    <row r="26" spans="1:8" x14ac:dyDescent="0.3">
      <c r="A26" t="str">
        <f>Clean_Data!A25</f>
        <v>C024</v>
      </c>
      <c r="B26">
        <f>Clean_Data!B25</f>
        <v>48456</v>
      </c>
      <c r="C26">
        <f>Clean_Data!I25</f>
        <v>29990</v>
      </c>
      <c r="D26">
        <f>Clean_Data!H25</f>
        <v>0.19</v>
      </c>
      <c r="E26">
        <f t="shared" si="0"/>
        <v>18466</v>
      </c>
      <c r="H26" t="str">
        <f t="shared" si="1"/>
        <v>High Rev – Low Profit</v>
      </c>
    </row>
    <row r="27" spans="1:8" x14ac:dyDescent="0.3">
      <c r="A27" t="str">
        <f>Clean_Data!A26</f>
        <v>C025</v>
      </c>
      <c r="B27">
        <f>Clean_Data!B26</f>
        <v>42662</v>
      </c>
      <c r="C27">
        <f>Clean_Data!I26</f>
        <v>22929</v>
      </c>
      <c r="D27">
        <f>Clean_Data!H26</f>
        <v>0.19</v>
      </c>
      <c r="E27">
        <f t="shared" si="0"/>
        <v>19733</v>
      </c>
      <c r="H27" t="str">
        <f t="shared" si="1"/>
        <v>High Rev – Low Profit</v>
      </c>
    </row>
    <row r="28" spans="1:8" x14ac:dyDescent="0.3">
      <c r="A28" t="str">
        <f>Clean_Data!A27</f>
        <v>C026</v>
      </c>
      <c r="B28">
        <f>Clean_Data!B27</f>
        <v>35379</v>
      </c>
      <c r="C28">
        <f>Clean_Data!I27</f>
        <v>11518</v>
      </c>
      <c r="D28">
        <f>Clean_Data!H27</f>
        <v>7.0000000000000007E-2</v>
      </c>
      <c r="E28">
        <f t="shared" si="0"/>
        <v>23861</v>
      </c>
      <c r="H28" t="str">
        <f t="shared" si="1"/>
        <v>Low Rev – High Profit</v>
      </c>
    </row>
    <row r="29" spans="1:8" x14ac:dyDescent="0.3">
      <c r="A29" t="str">
        <f>Clean_Data!A28</f>
        <v>C027</v>
      </c>
      <c r="B29">
        <f>Clean_Data!B28</f>
        <v>38190</v>
      </c>
      <c r="C29">
        <f>Clean_Data!I28</f>
        <v>22035</v>
      </c>
      <c r="D29">
        <f>Clean_Data!H28</f>
        <v>7.0000000000000007E-2</v>
      </c>
      <c r="E29">
        <f t="shared" si="0"/>
        <v>16155</v>
      </c>
      <c r="H29" t="str">
        <f t="shared" si="1"/>
        <v>Low Rev – Low Profit</v>
      </c>
    </row>
    <row r="30" spans="1:8" x14ac:dyDescent="0.3">
      <c r="A30" t="str">
        <f>Clean_Data!A29</f>
        <v>C028</v>
      </c>
      <c r="B30">
        <f>Clean_Data!B29</f>
        <v>31980</v>
      </c>
      <c r="C30">
        <f>Clean_Data!I29</f>
        <v>2145</v>
      </c>
      <c r="D30">
        <f>Clean_Data!H29</f>
        <v>0.17</v>
      </c>
      <c r="E30">
        <f t="shared" si="0"/>
        <v>29835</v>
      </c>
      <c r="H30" t="str">
        <f t="shared" si="1"/>
        <v>Low Rev – High Profit</v>
      </c>
    </row>
    <row r="31" spans="1:8" x14ac:dyDescent="0.3">
      <c r="A31" t="str">
        <f>Clean_Data!A30</f>
        <v>C029</v>
      </c>
      <c r="B31">
        <f>Clean_Data!B30</f>
        <v>33508</v>
      </c>
      <c r="C31">
        <f>Clean_Data!I30</f>
        <v>7252</v>
      </c>
      <c r="D31">
        <f>Clean_Data!H30</f>
        <v>0.03</v>
      </c>
      <c r="E31">
        <f t="shared" si="0"/>
        <v>26256</v>
      </c>
      <c r="H31" t="str">
        <f t="shared" si="1"/>
        <v>Low Rev – High Profit</v>
      </c>
    </row>
    <row r="32" spans="1:8" x14ac:dyDescent="0.3">
      <c r="A32" t="str">
        <f>Clean_Data!A31</f>
        <v>C030</v>
      </c>
      <c r="B32">
        <f>Clean_Data!B31</f>
        <v>31918</v>
      </c>
      <c r="C32">
        <f>Clean_Data!I31</f>
        <v>16549</v>
      </c>
      <c r="D32">
        <f>Clean_Data!H31</f>
        <v>0.24</v>
      </c>
      <c r="E32">
        <f t="shared" si="0"/>
        <v>15369</v>
      </c>
      <c r="H32" t="str">
        <f t="shared" si="1"/>
        <v>Low Rev – Low Profit</v>
      </c>
    </row>
    <row r="33" spans="1:8" x14ac:dyDescent="0.3">
      <c r="A33" t="str">
        <f>Clean_Data!A32</f>
        <v>C031</v>
      </c>
      <c r="B33">
        <f>Clean_Data!B32</f>
        <v>21796</v>
      </c>
      <c r="C33">
        <f>Clean_Data!I32</f>
        <v>24046</v>
      </c>
      <c r="D33">
        <f>Clean_Data!H32</f>
        <v>0.15</v>
      </c>
      <c r="E33">
        <f t="shared" si="0"/>
        <v>-2250</v>
      </c>
      <c r="H33" t="str">
        <f t="shared" si="1"/>
        <v>Low Rev – Low Profit</v>
      </c>
    </row>
    <row r="34" spans="1:8" x14ac:dyDescent="0.3">
      <c r="A34" t="str">
        <f>Clean_Data!A33</f>
        <v>C032</v>
      </c>
      <c r="B34">
        <f>Clean_Data!B33</f>
        <v>49521</v>
      </c>
      <c r="C34">
        <f>Clean_Data!I33</f>
        <v>19342</v>
      </c>
      <c r="D34">
        <f>Clean_Data!H33</f>
        <v>0.21</v>
      </c>
      <c r="E34">
        <f t="shared" si="0"/>
        <v>30179</v>
      </c>
      <c r="H34" t="str">
        <f t="shared" si="1"/>
        <v>High Rev – High Profit</v>
      </c>
    </row>
    <row r="35" spans="1:8" x14ac:dyDescent="0.3">
      <c r="A35" t="str">
        <f>Clean_Data!A34</f>
        <v>C033</v>
      </c>
      <c r="B35">
        <f>Clean_Data!B34</f>
        <v>24992</v>
      </c>
      <c r="C35">
        <f>Clean_Data!I34</f>
        <v>6860</v>
      </c>
      <c r="D35">
        <f>Clean_Data!H34</f>
        <v>0.15</v>
      </c>
      <c r="E35">
        <f t="shared" si="0"/>
        <v>18132</v>
      </c>
      <c r="H35" t="str">
        <f t="shared" si="1"/>
        <v>Low Rev – Low Profit</v>
      </c>
    </row>
    <row r="36" spans="1:8" x14ac:dyDescent="0.3">
      <c r="A36" t="str">
        <f>Clean_Data!A35</f>
        <v>C034</v>
      </c>
      <c r="B36">
        <f>Clean_Data!B35</f>
        <v>14168</v>
      </c>
      <c r="C36">
        <f>Clean_Data!I35</f>
        <v>2237</v>
      </c>
      <c r="D36">
        <f>Clean_Data!H35</f>
        <v>0.25</v>
      </c>
      <c r="E36">
        <f t="shared" si="0"/>
        <v>11931</v>
      </c>
      <c r="H36" t="str">
        <f t="shared" si="1"/>
        <v>Low Rev – Low Profit</v>
      </c>
    </row>
    <row r="37" spans="1:8" x14ac:dyDescent="0.3">
      <c r="A37" t="str">
        <f>Clean_Data!A36</f>
        <v>C035</v>
      </c>
      <c r="B37">
        <f>Clean_Data!B36</f>
        <v>13475</v>
      </c>
      <c r="C37">
        <f>Clean_Data!I36</f>
        <v>3293</v>
      </c>
      <c r="D37">
        <f>Clean_Data!H36</f>
        <v>0.28999999999999998</v>
      </c>
      <c r="E37">
        <f t="shared" si="0"/>
        <v>10182</v>
      </c>
      <c r="H37" t="str">
        <f t="shared" si="1"/>
        <v>Low Rev – Low Profit</v>
      </c>
    </row>
    <row r="38" spans="1:8" x14ac:dyDescent="0.3">
      <c r="A38" t="str">
        <f>Clean_Data!A37</f>
        <v>C036</v>
      </c>
      <c r="B38">
        <f>Clean_Data!B37</f>
        <v>29892</v>
      </c>
      <c r="C38">
        <f>Clean_Data!I37</f>
        <v>28329</v>
      </c>
      <c r="D38">
        <f>Clean_Data!H37</f>
        <v>0.08</v>
      </c>
      <c r="E38">
        <f t="shared" si="0"/>
        <v>1563</v>
      </c>
      <c r="H38" t="str">
        <f t="shared" si="1"/>
        <v>Low Rev – Low Profit</v>
      </c>
    </row>
    <row r="39" spans="1:8" x14ac:dyDescent="0.3">
      <c r="A39" t="str">
        <f>Clean_Data!A38</f>
        <v>C037</v>
      </c>
      <c r="B39">
        <f>Clean_Data!B38</f>
        <v>10507</v>
      </c>
      <c r="C39">
        <f>Clean_Data!I38</f>
        <v>28524</v>
      </c>
      <c r="D39">
        <f>Clean_Data!H38</f>
        <v>0.23</v>
      </c>
      <c r="E39">
        <f t="shared" si="0"/>
        <v>-18017</v>
      </c>
      <c r="H39" t="str">
        <f t="shared" si="1"/>
        <v>Low Rev – Low Profit</v>
      </c>
    </row>
    <row r="40" spans="1:8" x14ac:dyDescent="0.3">
      <c r="A40" t="str">
        <f>Clean_Data!A39</f>
        <v>C038</v>
      </c>
      <c r="B40">
        <f>Clean_Data!B39</f>
        <v>44476</v>
      </c>
      <c r="C40">
        <f>Clean_Data!I39</f>
        <v>8811</v>
      </c>
      <c r="D40">
        <f>Clean_Data!H39</f>
        <v>0.26</v>
      </c>
      <c r="E40">
        <f t="shared" si="0"/>
        <v>35665</v>
      </c>
      <c r="H40" t="str">
        <f t="shared" si="1"/>
        <v>High Rev – High Profit</v>
      </c>
    </row>
    <row r="41" spans="1:8" x14ac:dyDescent="0.3">
      <c r="A41" t="str">
        <f>Clean_Data!A40</f>
        <v>C039</v>
      </c>
      <c r="B41">
        <f>Clean_Data!B40</f>
        <v>17860</v>
      </c>
      <c r="C41">
        <f>Clean_Data!I40</f>
        <v>23935</v>
      </c>
      <c r="D41">
        <f>Clean_Data!H40</f>
        <v>0.05</v>
      </c>
      <c r="E41">
        <f t="shared" si="0"/>
        <v>-6075</v>
      </c>
      <c r="H41" t="str">
        <f t="shared" si="1"/>
        <v>Low Rev – Low Profit</v>
      </c>
    </row>
    <row r="42" spans="1:8" x14ac:dyDescent="0.3">
      <c r="A42" t="str">
        <f>Clean_Data!A41</f>
        <v>C040</v>
      </c>
      <c r="B42">
        <f>Clean_Data!B41</f>
        <v>16645</v>
      </c>
      <c r="C42">
        <f>Clean_Data!I41</f>
        <v>29691</v>
      </c>
      <c r="D42">
        <f>Clean_Data!H41</f>
        <v>0.3</v>
      </c>
      <c r="E42">
        <f t="shared" si="0"/>
        <v>-13046</v>
      </c>
      <c r="H42" t="str">
        <f t="shared" si="1"/>
        <v>Low Rev – Low Profit</v>
      </c>
    </row>
    <row r="43" spans="1:8" x14ac:dyDescent="0.3">
      <c r="A43" t="str">
        <f>Clean_Data!A42</f>
        <v>C041</v>
      </c>
      <c r="B43">
        <f>Clean_Data!B42</f>
        <v>8465</v>
      </c>
      <c r="C43">
        <f>Clean_Data!I42</f>
        <v>27589</v>
      </c>
      <c r="D43">
        <f>Clean_Data!H42</f>
        <v>0.06</v>
      </c>
      <c r="E43">
        <f t="shared" si="0"/>
        <v>-19124</v>
      </c>
      <c r="H43" t="str">
        <f t="shared" si="1"/>
        <v>Low Rev – Low Profit</v>
      </c>
    </row>
    <row r="44" spans="1:8" x14ac:dyDescent="0.3">
      <c r="A44" t="str">
        <f>Clean_Data!A43</f>
        <v>C042</v>
      </c>
      <c r="B44">
        <f>Clean_Data!B43</f>
        <v>43908</v>
      </c>
      <c r="C44">
        <f>Clean_Data!I43</f>
        <v>24510</v>
      </c>
      <c r="D44">
        <f>Clean_Data!H43</f>
        <v>0.17</v>
      </c>
      <c r="E44">
        <f t="shared" si="0"/>
        <v>19398</v>
      </c>
      <c r="H44" t="str">
        <f t="shared" si="1"/>
        <v>High Rev – Low Profit</v>
      </c>
    </row>
    <row r="45" spans="1:8" x14ac:dyDescent="0.3">
      <c r="A45" t="str">
        <f>Clean_Data!A44</f>
        <v>C043</v>
      </c>
      <c r="B45">
        <f>Clean_Data!B44</f>
        <v>20014</v>
      </c>
      <c r="C45">
        <f>Clean_Data!I44</f>
        <v>5860</v>
      </c>
      <c r="D45">
        <f>Clean_Data!H44</f>
        <v>0.17</v>
      </c>
      <c r="E45">
        <f t="shared" si="0"/>
        <v>14154</v>
      </c>
      <c r="H45" t="str">
        <f t="shared" si="1"/>
        <v>Low Rev – Low Profit</v>
      </c>
    </row>
    <row r="46" spans="1:8" x14ac:dyDescent="0.3">
      <c r="A46" t="str">
        <f>Clean_Data!A45</f>
        <v>C044</v>
      </c>
      <c r="B46">
        <f>Clean_Data!B45</f>
        <v>9133</v>
      </c>
      <c r="C46">
        <f>Clean_Data!I45</f>
        <v>29513</v>
      </c>
      <c r="D46">
        <f>Clean_Data!H45</f>
        <v>0.3</v>
      </c>
      <c r="E46">
        <f t="shared" si="0"/>
        <v>-20380</v>
      </c>
      <c r="H46" t="str">
        <f t="shared" si="1"/>
        <v>Low Rev – Low Profit</v>
      </c>
    </row>
    <row r="47" spans="1:8" x14ac:dyDescent="0.3">
      <c r="A47" t="str">
        <f>Clean_Data!A46</f>
        <v>C045</v>
      </c>
      <c r="B47">
        <f>Clean_Data!B46</f>
        <v>21037</v>
      </c>
      <c r="C47">
        <f>Clean_Data!I46</f>
        <v>15022</v>
      </c>
      <c r="D47">
        <f>Clean_Data!H46</f>
        <v>0.01</v>
      </c>
      <c r="E47">
        <f t="shared" si="0"/>
        <v>6015</v>
      </c>
      <c r="H47" t="str">
        <f t="shared" si="1"/>
        <v>Low Rev – Low Profit</v>
      </c>
    </row>
    <row r="48" spans="1:8" x14ac:dyDescent="0.3">
      <c r="A48" t="str">
        <f>Clean_Data!A47</f>
        <v>C046</v>
      </c>
      <c r="B48">
        <f>Clean_Data!B47</f>
        <v>37702</v>
      </c>
      <c r="C48">
        <f>Clean_Data!I47</f>
        <v>5541</v>
      </c>
      <c r="D48">
        <f>Clean_Data!H47</f>
        <v>0.08</v>
      </c>
      <c r="E48">
        <f t="shared" si="0"/>
        <v>32161</v>
      </c>
      <c r="H48" t="str">
        <f t="shared" si="1"/>
        <v>Low Rev – High Profit</v>
      </c>
    </row>
    <row r="49" spans="1:8" x14ac:dyDescent="0.3">
      <c r="A49" t="str">
        <f>Clean_Data!A48</f>
        <v>C047</v>
      </c>
      <c r="B49">
        <f>Clean_Data!B48</f>
        <v>15213</v>
      </c>
      <c r="C49">
        <f>Clean_Data!I48</f>
        <v>16549</v>
      </c>
      <c r="D49">
        <f>Clean_Data!H48</f>
        <v>0.05</v>
      </c>
      <c r="E49">
        <f t="shared" si="0"/>
        <v>-1336</v>
      </c>
      <c r="H49" t="str">
        <f t="shared" si="1"/>
        <v>Low Rev – Low Profit</v>
      </c>
    </row>
    <row r="50" spans="1:8" x14ac:dyDescent="0.3">
      <c r="A50" t="str">
        <f>Clean_Data!A49</f>
        <v>C048</v>
      </c>
      <c r="B50">
        <f>Clean_Data!B49</f>
        <v>38465</v>
      </c>
      <c r="C50">
        <f>Clean_Data!I49</f>
        <v>16549</v>
      </c>
      <c r="D50">
        <f>Clean_Data!H49</f>
        <v>0.25</v>
      </c>
      <c r="E50">
        <f t="shared" si="0"/>
        <v>21916</v>
      </c>
      <c r="H50" t="str">
        <f t="shared" si="1"/>
        <v>Low Rev – Low Profit</v>
      </c>
    </row>
    <row r="51" spans="1:8" x14ac:dyDescent="0.3">
      <c r="A51" t="str">
        <f>Clean_Data!A50</f>
        <v>C049</v>
      </c>
      <c r="B51">
        <f>Clean_Data!B50</f>
        <v>40964</v>
      </c>
      <c r="C51">
        <f>Clean_Data!I50</f>
        <v>7316</v>
      </c>
      <c r="D51">
        <f>Clean_Data!H50</f>
        <v>0.3</v>
      </c>
      <c r="E51">
        <f t="shared" si="0"/>
        <v>33648</v>
      </c>
      <c r="H51" t="str">
        <f t="shared" si="1"/>
        <v>High Rev – High Profit</v>
      </c>
    </row>
    <row r="52" spans="1:8" x14ac:dyDescent="0.3">
      <c r="A52" t="str">
        <f>Clean_Data!A51</f>
        <v>C050</v>
      </c>
      <c r="B52">
        <f>Clean_Data!B51</f>
        <v>3354</v>
      </c>
      <c r="C52">
        <f>Clean_Data!I51</f>
        <v>26453</v>
      </c>
      <c r="D52">
        <f>Clean_Data!H51</f>
        <v>0.1</v>
      </c>
      <c r="E52">
        <f t="shared" si="0"/>
        <v>-23099</v>
      </c>
      <c r="H52" t="str">
        <f t="shared" si="1"/>
        <v>Low Rev – Low Profit</v>
      </c>
    </row>
    <row r="53" spans="1:8" x14ac:dyDescent="0.3">
      <c r="A53" t="str">
        <f>Clean_Data!A52</f>
        <v>C051</v>
      </c>
      <c r="B53">
        <f>Clean_Data!B52</f>
        <v>39754</v>
      </c>
      <c r="C53">
        <f>Clean_Data!I52</f>
        <v>17071</v>
      </c>
      <c r="D53">
        <f>Clean_Data!H52</f>
        <v>0.19</v>
      </c>
      <c r="E53">
        <f t="shared" si="0"/>
        <v>22683</v>
      </c>
      <c r="H53" t="str">
        <f t="shared" si="1"/>
        <v>High Rev – Low Profit</v>
      </c>
    </row>
    <row r="54" spans="1:8" x14ac:dyDescent="0.3">
      <c r="A54" t="str">
        <f>Clean_Data!A53</f>
        <v>C052</v>
      </c>
      <c r="B54">
        <f>Clean_Data!B53</f>
        <v>9655</v>
      </c>
      <c r="C54">
        <f>Clean_Data!I53</f>
        <v>9733</v>
      </c>
      <c r="D54">
        <f>Clean_Data!H53</f>
        <v>0.13</v>
      </c>
      <c r="E54">
        <f t="shared" si="0"/>
        <v>-78</v>
      </c>
      <c r="H54" t="str">
        <f t="shared" si="1"/>
        <v>Low Rev – Low Profit</v>
      </c>
    </row>
    <row r="55" spans="1:8" x14ac:dyDescent="0.3">
      <c r="A55" t="str">
        <f>Clean_Data!A54</f>
        <v>C053</v>
      </c>
      <c r="B55">
        <f>Clean_Data!B54</f>
        <v>14600</v>
      </c>
      <c r="C55">
        <f>Clean_Data!I54</f>
        <v>13535</v>
      </c>
      <c r="D55">
        <f>Clean_Data!H54</f>
        <v>0.13</v>
      </c>
      <c r="E55">
        <f t="shared" si="0"/>
        <v>1065</v>
      </c>
      <c r="H55" t="str">
        <f t="shared" si="1"/>
        <v>Low Rev – Low Profit</v>
      </c>
    </row>
    <row r="56" spans="1:8" x14ac:dyDescent="0.3">
      <c r="A56" t="str">
        <f>Clean_Data!A55</f>
        <v>C054</v>
      </c>
      <c r="B56">
        <f>Clean_Data!B55</f>
        <v>43298</v>
      </c>
      <c r="C56">
        <f>Clean_Data!I55</f>
        <v>7241</v>
      </c>
      <c r="D56">
        <f>Clean_Data!H55</f>
        <v>0.03</v>
      </c>
      <c r="E56">
        <f t="shared" si="0"/>
        <v>36057</v>
      </c>
      <c r="H56" t="str">
        <f t="shared" si="1"/>
        <v>High Rev – High Profit</v>
      </c>
    </row>
    <row r="57" spans="1:8" x14ac:dyDescent="0.3">
      <c r="A57" t="str">
        <f>Clean_Data!A56</f>
        <v>C055</v>
      </c>
      <c r="B57">
        <f>Clean_Data!B56</f>
        <v>20624</v>
      </c>
      <c r="C57">
        <f>Clean_Data!I56</f>
        <v>26135</v>
      </c>
      <c r="D57">
        <f>Clean_Data!H56</f>
        <v>0.18</v>
      </c>
      <c r="E57">
        <f t="shared" si="0"/>
        <v>-5511</v>
      </c>
      <c r="H57" t="str">
        <f t="shared" si="1"/>
        <v>Low Rev – Low Profit</v>
      </c>
    </row>
    <row r="58" spans="1:8" x14ac:dyDescent="0.3">
      <c r="A58" t="str">
        <f>Clean_Data!A57</f>
        <v>C056</v>
      </c>
      <c r="B58">
        <f>Clean_Data!B57</f>
        <v>24598</v>
      </c>
      <c r="C58">
        <f>Clean_Data!I57</f>
        <v>8860</v>
      </c>
      <c r="D58">
        <f>Clean_Data!H57</f>
        <v>0.19</v>
      </c>
      <c r="E58">
        <f t="shared" si="0"/>
        <v>15738</v>
      </c>
      <c r="H58" t="str">
        <f t="shared" si="1"/>
        <v>Low Rev – Low Profit</v>
      </c>
    </row>
    <row r="59" spans="1:8" x14ac:dyDescent="0.3">
      <c r="A59" t="str">
        <f>Clean_Data!A58</f>
        <v>C057</v>
      </c>
      <c r="B59">
        <f>Clean_Data!B58</f>
        <v>30928</v>
      </c>
      <c r="C59">
        <f>Clean_Data!I58</f>
        <v>11129</v>
      </c>
      <c r="D59">
        <f>Clean_Data!H58</f>
        <v>0.3</v>
      </c>
      <c r="E59">
        <f t="shared" si="0"/>
        <v>19799</v>
      </c>
      <c r="H59" t="str">
        <f t="shared" si="1"/>
        <v>Low Rev – Low Profit</v>
      </c>
    </row>
    <row r="60" spans="1:8" x14ac:dyDescent="0.3">
      <c r="A60" t="str">
        <f>Clean_Data!A59</f>
        <v>C058</v>
      </c>
      <c r="B60">
        <f>Clean_Data!B59</f>
        <v>5161</v>
      </c>
      <c r="C60">
        <f>Clean_Data!I59</f>
        <v>16549</v>
      </c>
      <c r="D60">
        <f>Clean_Data!H59</f>
        <v>0.28000000000000003</v>
      </c>
      <c r="E60">
        <f t="shared" si="0"/>
        <v>-11388</v>
      </c>
      <c r="H60" t="str">
        <f t="shared" si="1"/>
        <v>Low Rev – Low Profit</v>
      </c>
    </row>
    <row r="61" spans="1:8" x14ac:dyDescent="0.3">
      <c r="A61" t="str">
        <f>Clean_Data!A60</f>
        <v>C059</v>
      </c>
      <c r="B61">
        <f>Clean_Data!B60</f>
        <v>44453</v>
      </c>
      <c r="C61">
        <f>Clean_Data!I60</f>
        <v>11062</v>
      </c>
      <c r="D61">
        <f>Clean_Data!H60</f>
        <v>0.02</v>
      </c>
      <c r="E61">
        <f t="shared" si="0"/>
        <v>33391</v>
      </c>
      <c r="H61" t="str">
        <f t="shared" si="1"/>
        <v>High Rev – High Profit</v>
      </c>
    </row>
    <row r="62" spans="1:8" x14ac:dyDescent="0.3">
      <c r="A62" t="str">
        <f>Clean_Data!A61</f>
        <v>C060</v>
      </c>
      <c r="B62">
        <f>Clean_Data!B61</f>
        <v>30775</v>
      </c>
      <c r="C62">
        <f>Clean_Data!I61</f>
        <v>17693</v>
      </c>
      <c r="D62">
        <f>Clean_Data!H61</f>
        <v>0.17</v>
      </c>
      <c r="E62">
        <f t="shared" si="0"/>
        <v>13082</v>
      </c>
      <c r="H62" t="str">
        <f t="shared" si="1"/>
        <v>Low Rev – Low Profit</v>
      </c>
    </row>
    <row r="63" spans="1:8" x14ac:dyDescent="0.3">
      <c r="A63" t="str">
        <f>Clean_Data!A62</f>
        <v>C061</v>
      </c>
      <c r="B63">
        <f>Clean_Data!B62</f>
        <v>19789</v>
      </c>
      <c r="C63">
        <f>Clean_Data!I62</f>
        <v>6752</v>
      </c>
      <c r="D63">
        <f>Clean_Data!H62</f>
        <v>0.1</v>
      </c>
      <c r="E63">
        <f t="shared" si="0"/>
        <v>13037</v>
      </c>
      <c r="H63" t="str">
        <f t="shared" si="1"/>
        <v>Low Rev – Low Profit</v>
      </c>
    </row>
    <row r="64" spans="1:8" x14ac:dyDescent="0.3">
      <c r="A64" t="str">
        <f>Clean_Data!A63</f>
        <v>C062</v>
      </c>
      <c r="B64">
        <f>Clean_Data!B63</f>
        <v>43255</v>
      </c>
      <c r="C64">
        <f>Clean_Data!I63</f>
        <v>14529</v>
      </c>
      <c r="D64">
        <f>Clean_Data!H63</f>
        <v>0.2</v>
      </c>
      <c r="E64">
        <f t="shared" si="0"/>
        <v>28726</v>
      </c>
      <c r="H64" t="str">
        <f t="shared" si="1"/>
        <v>High Rev – High Profit</v>
      </c>
    </row>
    <row r="65" spans="1:8" x14ac:dyDescent="0.3">
      <c r="A65" t="str">
        <f>Clean_Data!A64</f>
        <v>C063</v>
      </c>
      <c r="B65">
        <f>Clean_Data!B64</f>
        <v>4506</v>
      </c>
      <c r="C65">
        <f>Clean_Data!I64</f>
        <v>21797</v>
      </c>
      <c r="D65">
        <f>Clean_Data!H64</f>
        <v>0.17</v>
      </c>
      <c r="E65">
        <f t="shared" si="0"/>
        <v>-17291</v>
      </c>
      <c r="H65" t="str">
        <f t="shared" si="1"/>
        <v>Low Rev – Low Profit</v>
      </c>
    </row>
    <row r="66" spans="1:8" x14ac:dyDescent="0.3">
      <c r="A66" t="str">
        <f>Clean_Data!A65</f>
        <v>C064</v>
      </c>
      <c r="B66">
        <f>Clean_Data!B65</f>
        <v>22342</v>
      </c>
      <c r="C66">
        <f>Clean_Data!I65</f>
        <v>21828</v>
      </c>
      <c r="D66">
        <f>Clean_Data!H65</f>
        <v>0.1</v>
      </c>
      <c r="E66">
        <f t="shared" si="0"/>
        <v>514</v>
      </c>
      <c r="H66" t="str">
        <f t="shared" si="1"/>
        <v>Low Rev – Low Profit</v>
      </c>
    </row>
    <row r="67" spans="1:8" x14ac:dyDescent="0.3">
      <c r="A67" t="str">
        <f>Clean_Data!A66</f>
        <v>C065</v>
      </c>
      <c r="B67">
        <f>Clean_Data!B66</f>
        <v>37720</v>
      </c>
      <c r="C67">
        <f>Clean_Data!I66</f>
        <v>19960</v>
      </c>
      <c r="D67">
        <f>Clean_Data!H66</f>
        <v>0.22</v>
      </c>
      <c r="E67">
        <f t="shared" si="0"/>
        <v>17760</v>
      </c>
      <c r="H67" t="str">
        <f t="shared" si="1"/>
        <v>Low Rev – Low Profit</v>
      </c>
    </row>
    <row r="68" spans="1:8" x14ac:dyDescent="0.3">
      <c r="A68" t="str">
        <f>Clean_Data!A67</f>
        <v>C066</v>
      </c>
      <c r="B68">
        <f>Clean_Data!B67</f>
        <v>30383</v>
      </c>
      <c r="C68">
        <f>Clean_Data!I67</f>
        <v>15094</v>
      </c>
      <c r="D68">
        <f>Clean_Data!H67</f>
        <v>0.23</v>
      </c>
      <c r="E68">
        <f t="shared" ref="E68:E131" si="2">B68-C68</f>
        <v>15289</v>
      </c>
      <c r="H68" t="str">
        <f t="shared" ref="H68:H131" si="3">IF(AND(B68&gt;=$F$3, E68&gt;=$G$3),
"High Rev – High Profit",
IF(AND(B68&gt;=$F$3, E68&lt;$G$3),
"High Rev – Low Profit",
IF(AND(B68&lt;$F$3, E68&gt;=$G$3),
"Low Rev – High Profit",
"Low Rev – Low Profit")))</f>
        <v>Low Rev – Low Profit</v>
      </c>
    </row>
    <row r="69" spans="1:8" x14ac:dyDescent="0.3">
      <c r="A69" t="str">
        <f>Clean_Data!A68</f>
        <v>C067</v>
      </c>
      <c r="B69">
        <f>Clean_Data!B68</f>
        <v>9858</v>
      </c>
      <c r="C69">
        <f>Clean_Data!I68</f>
        <v>3881</v>
      </c>
      <c r="D69">
        <f>Clean_Data!H68</f>
        <v>0.09</v>
      </c>
      <c r="E69">
        <f t="shared" si="2"/>
        <v>5977</v>
      </c>
      <c r="H69" t="str">
        <f t="shared" si="3"/>
        <v>Low Rev – Low Profit</v>
      </c>
    </row>
    <row r="70" spans="1:8" x14ac:dyDescent="0.3">
      <c r="A70" t="str">
        <f>Clean_Data!A69</f>
        <v>C068</v>
      </c>
      <c r="B70">
        <f>Clean_Data!B69</f>
        <v>48100</v>
      </c>
      <c r="C70">
        <f>Clean_Data!I69</f>
        <v>27774</v>
      </c>
      <c r="D70">
        <f>Clean_Data!H69</f>
        <v>0.02</v>
      </c>
      <c r="E70">
        <f t="shared" si="2"/>
        <v>20326</v>
      </c>
      <c r="H70" t="str">
        <f t="shared" si="3"/>
        <v>High Rev – Low Profit</v>
      </c>
    </row>
    <row r="71" spans="1:8" x14ac:dyDescent="0.3">
      <c r="A71" t="str">
        <f>Clean_Data!A70</f>
        <v>C069</v>
      </c>
      <c r="B71">
        <f>Clean_Data!B70</f>
        <v>21859</v>
      </c>
      <c r="C71">
        <f>Clean_Data!I70</f>
        <v>19192</v>
      </c>
      <c r="D71">
        <f>Clean_Data!H70</f>
        <v>0.19</v>
      </c>
      <c r="E71">
        <f t="shared" si="2"/>
        <v>2667</v>
      </c>
      <c r="H71" t="str">
        <f t="shared" si="3"/>
        <v>Low Rev – Low Profit</v>
      </c>
    </row>
    <row r="72" spans="1:8" x14ac:dyDescent="0.3">
      <c r="A72" t="str">
        <f>Clean_Data!A71</f>
        <v>C070</v>
      </c>
      <c r="B72">
        <f>Clean_Data!B71</f>
        <v>45655</v>
      </c>
      <c r="C72">
        <f>Clean_Data!I71</f>
        <v>25708</v>
      </c>
      <c r="D72">
        <f>Clean_Data!H71</f>
        <v>0.17</v>
      </c>
      <c r="E72">
        <f t="shared" si="2"/>
        <v>19947</v>
      </c>
      <c r="H72" t="str">
        <f t="shared" si="3"/>
        <v>High Rev – Low Profit</v>
      </c>
    </row>
    <row r="73" spans="1:8" x14ac:dyDescent="0.3">
      <c r="A73" t="str">
        <f>Clean_Data!A72</f>
        <v>C071</v>
      </c>
      <c r="B73">
        <f>Clean_Data!B72</f>
        <v>27500</v>
      </c>
      <c r="C73">
        <f>Clean_Data!I72</f>
        <v>14556</v>
      </c>
      <c r="D73">
        <f>Clean_Data!H72</f>
        <v>7.0000000000000007E-2</v>
      </c>
      <c r="E73">
        <f t="shared" si="2"/>
        <v>12944</v>
      </c>
      <c r="H73" t="str">
        <f t="shared" si="3"/>
        <v>Low Rev – Low Profit</v>
      </c>
    </row>
    <row r="74" spans="1:8" x14ac:dyDescent="0.3">
      <c r="A74" t="str">
        <f>Clean_Data!A73</f>
        <v>C072</v>
      </c>
      <c r="B74">
        <f>Clean_Data!B73</f>
        <v>14245</v>
      </c>
      <c r="C74">
        <f>Clean_Data!I73</f>
        <v>5635</v>
      </c>
      <c r="D74">
        <f>Clean_Data!H73</f>
        <v>0.25</v>
      </c>
      <c r="E74">
        <f t="shared" si="2"/>
        <v>8610</v>
      </c>
      <c r="H74" t="str">
        <f t="shared" si="3"/>
        <v>Low Rev – Low Profit</v>
      </c>
    </row>
    <row r="75" spans="1:8" x14ac:dyDescent="0.3">
      <c r="A75" t="str">
        <f>Clean_Data!A74</f>
        <v>C073</v>
      </c>
      <c r="B75">
        <f>Clean_Data!B74</f>
        <v>25665</v>
      </c>
      <c r="C75">
        <f>Clean_Data!I74</f>
        <v>9918</v>
      </c>
      <c r="D75">
        <f>Clean_Data!H74</f>
        <v>0.04</v>
      </c>
      <c r="E75">
        <f t="shared" si="2"/>
        <v>15747</v>
      </c>
      <c r="H75" t="str">
        <f t="shared" si="3"/>
        <v>Low Rev – Low Profit</v>
      </c>
    </row>
    <row r="76" spans="1:8" x14ac:dyDescent="0.3">
      <c r="A76" t="str">
        <f>Clean_Data!A75</f>
        <v>C074</v>
      </c>
      <c r="B76">
        <f>Clean_Data!B75</f>
        <v>14069</v>
      </c>
      <c r="C76">
        <f>Clean_Data!I75</f>
        <v>13970</v>
      </c>
      <c r="D76">
        <f>Clean_Data!H75</f>
        <v>0.2</v>
      </c>
      <c r="E76">
        <f t="shared" si="2"/>
        <v>99</v>
      </c>
      <c r="H76" t="str">
        <f t="shared" si="3"/>
        <v>Low Rev – Low Profit</v>
      </c>
    </row>
    <row r="77" spans="1:8" x14ac:dyDescent="0.3">
      <c r="A77" t="str">
        <f>Clean_Data!A76</f>
        <v>C075</v>
      </c>
      <c r="B77">
        <f>Clean_Data!B76</f>
        <v>49591</v>
      </c>
      <c r="C77">
        <f>Clean_Data!I76</f>
        <v>16549</v>
      </c>
      <c r="D77">
        <f>Clean_Data!H76</f>
        <v>0.15</v>
      </c>
      <c r="E77">
        <f t="shared" si="2"/>
        <v>33042</v>
      </c>
      <c r="H77" t="str">
        <f t="shared" si="3"/>
        <v>High Rev – High Profit</v>
      </c>
    </row>
    <row r="78" spans="1:8" x14ac:dyDescent="0.3">
      <c r="A78" t="str">
        <f>Clean_Data!A77</f>
        <v>C076</v>
      </c>
      <c r="B78">
        <f>Clean_Data!B77</f>
        <v>27050</v>
      </c>
      <c r="C78">
        <f>Clean_Data!I77</f>
        <v>17324</v>
      </c>
      <c r="D78">
        <f>Clean_Data!H77</f>
        <v>0.24</v>
      </c>
      <c r="E78">
        <f t="shared" si="2"/>
        <v>9726</v>
      </c>
      <c r="H78" t="str">
        <f t="shared" si="3"/>
        <v>Low Rev – Low Profit</v>
      </c>
    </row>
    <row r="79" spans="1:8" x14ac:dyDescent="0.3">
      <c r="A79" t="str">
        <f>Clean_Data!A78</f>
        <v>C077</v>
      </c>
      <c r="B79">
        <f>Clean_Data!B78</f>
        <v>38503</v>
      </c>
      <c r="C79">
        <f>Clean_Data!I78</f>
        <v>8289</v>
      </c>
      <c r="D79">
        <f>Clean_Data!H78</f>
        <v>0.04</v>
      </c>
      <c r="E79">
        <f t="shared" si="2"/>
        <v>30214</v>
      </c>
      <c r="H79" t="str">
        <f t="shared" si="3"/>
        <v>Low Rev – High Profit</v>
      </c>
    </row>
    <row r="80" spans="1:8" x14ac:dyDescent="0.3">
      <c r="A80" t="str">
        <f>Clean_Data!A79</f>
        <v>C078</v>
      </c>
      <c r="B80">
        <f>Clean_Data!B79</f>
        <v>44146</v>
      </c>
      <c r="C80">
        <f>Clean_Data!I79</f>
        <v>2149</v>
      </c>
      <c r="D80">
        <f>Clean_Data!H79</f>
        <v>0.01</v>
      </c>
      <c r="E80">
        <f t="shared" si="2"/>
        <v>41997</v>
      </c>
      <c r="H80" t="str">
        <f t="shared" si="3"/>
        <v>High Rev – High Profit</v>
      </c>
    </row>
    <row r="81" spans="1:8" x14ac:dyDescent="0.3">
      <c r="A81" t="str">
        <f>Clean_Data!A80</f>
        <v>C079</v>
      </c>
      <c r="B81">
        <f>Clean_Data!B80</f>
        <v>12841</v>
      </c>
      <c r="C81">
        <f>Clean_Data!I80</f>
        <v>10690</v>
      </c>
      <c r="D81">
        <f>Clean_Data!H80</f>
        <v>0.28000000000000003</v>
      </c>
      <c r="E81">
        <f t="shared" si="2"/>
        <v>2151</v>
      </c>
      <c r="H81" t="str">
        <f t="shared" si="3"/>
        <v>Low Rev – Low Profit</v>
      </c>
    </row>
    <row r="82" spans="1:8" x14ac:dyDescent="0.3">
      <c r="A82" t="str">
        <f>Clean_Data!A81</f>
        <v>C080</v>
      </c>
      <c r="B82">
        <f>Clean_Data!B81</f>
        <v>36268</v>
      </c>
      <c r="C82">
        <f>Clean_Data!I81</f>
        <v>20247</v>
      </c>
      <c r="D82">
        <f>Clean_Data!H81</f>
        <v>0.25</v>
      </c>
      <c r="E82">
        <f t="shared" si="2"/>
        <v>16021</v>
      </c>
      <c r="H82" t="str">
        <f t="shared" si="3"/>
        <v>Low Rev – Low Profit</v>
      </c>
    </row>
    <row r="83" spans="1:8" x14ac:dyDescent="0.3">
      <c r="A83" t="str">
        <f>Clean_Data!A82</f>
        <v>C081</v>
      </c>
      <c r="B83">
        <f>Clean_Data!B82</f>
        <v>48747</v>
      </c>
      <c r="C83">
        <f>Clean_Data!I82</f>
        <v>25835</v>
      </c>
      <c r="D83">
        <f>Clean_Data!H82</f>
        <v>0.01</v>
      </c>
      <c r="E83">
        <f t="shared" si="2"/>
        <v>22912</v>
      </c>
      <c r="H83" t="str">
        <f t="shared" si="3"/>
        <v>High Rev – High Profit</v>
      </c>
    </row>
    <row r="84" spans="1:8" x14ac:dyDescent="0.3">
      <c r="A84" t="str">
        <f>Clean_Data!A83</f>
        <v>C082</v>
      </c>
      <c r="B84">
        <f>Clean_Data!B83</f>
        <v>33525</v>
      </c>
      <c r="C84">
        <f>Clean_Data!I83</f>
        <v>16549</v>
      </c>
      <c r="D84">
        <f>Clean_Data!H83</f>
        <v>0.26</v>
      </c>
      <c r="E84">
        <f t="shared" si="2"/>
        <v>16976</v>
      </c>
      <c r="H84" t="str">
        <f t="shared" si="3"/>
        <v>Low Rev – Low Profit</v>
      </c>
    </row>
    <row r="85" spans="1:8" x14ac:dyDescent="0.3">
      <c r="A85" t="str">
        <f>Clean_Data!A84</f>
        <v>C083</v>
      </c>
      <c r="B85">
        <f>Clean_Data!B84</f>
        <v>7129</v>
      </c>
      <c r="C85">
        <f>Clean_Data!I84</f>
        <v>16549</v>
      </c>
      <c r="D85">
        <f>Clean_Data!H84</f>
        <v>0.11</v>
      </c>
      <c r="E85">
        <f t="shared" si="2"/>
        <v>-9420</v>
      </c>
      <c r="H85" t="str">
        <f t="shared" si="3"/>
        <v>Low Rev – Low Profit</v>
      </c>
    </row>
    <row r="86" spans="1:8" x14ac:dyDescent="0.3">
      <c r="A86" t="str">
        <f>Clean_Data!A85</f>
        <v>C084</v>
      </c>
      <c r="B86">
        <f>Clean_Data!B85</f>
        <v>19255</v>
      </c>
      <c r="C86">
        <f>Clean_Data!I85</f>
        <v>25596</v>
      </c>
      <c r="D86">
        <f>Clean_Data!H85</f>
        <v>0.17</v>
      </c>
      <c r="E86">
        <f t="shared" si="2"/>
        <v>-6341</v>
      </c>
      <c r="H86" t="str">
        <f t="shared" si="3"/>
        <v>Low Rev – Low Profit</v>
      </c>
    </row>
    <row r="87" spans="1:8" x14ac:dyDescent="0.3">
      <c r="A87" t="str">
        <f>Clean_Data!A86</f>
        <v>C085</v>
      </c>
      <c r="B87">
        <f>Clean_Data!B86</f>
        <v>33750</v>
      </c>
      <c r="C87">
        <f>Clean_Data!I86</f>
        <v>16340</v>
      </c>
      <c r="D87">
        <f>Clean_Data!H86</f>
        <v>0.06</v>
      </c>
      <c r="E87">
        <f t="shared" si="2"/>
        <v>17410</v>
      </c>
      <c r="H87" t="str">
        <f t="shared" si="3"/>
        <v>Low Rev – Low Profit</v>
      </c>
    </row>
    <row r="88" spans="1:8" x14ac:dyDescent="0.3">
      <c r="A88" t="str">
        <f>Clean_Data!A87</f>
        <v>C086</v>
      </c>
      <c r="B88">
        <f>Clean_Data!B87</f>
        <v>8672</v>
      </c>
      <c r="C88">
        <f>Clean_Data!I87</f>
        <v>18165</v>
      </c>
      <c r="D88">
        <f>Clean_Data!H87</f>
        <v>0.24</v>
      </c>
      <c r="E88">
        <f t="shared" si="2"/>
        <v>-9493</v>
      </c>
      <c r="H88" t="str">
        <f t="shared" si="3"/>
        <v>Low Rev – Low Profit</v>
      </c>
    </row>
    <row r="89" spans="1:8" x14ac:dyDescent="0.3">
      <c r="A89" t="str">
        <f>Clean_Data!A88</f>
        <v>C087</v>
      </c>
      <c r="B89">
        <f>Clean_Data!B88</f>
        <v>5043</v>
      </c>
      <c r="C89">
        <f>Clean_Data!I88</f>
        <v>16827</v>
      </c>
      <c r="D89">
        <f>Clean_Data!H88</f>
        <v>0.26</v>
      </c>
      <c r="E89">
        <f t="shared" si="2"/>
        <v>-11784</v>
      </c>
      <c r="H89" t="str">
        <f t="shared" si="3"/>
        <v>Low Rev – Low Profit</v>
      </c>
    </row>
    <row r="90" spans="1:8" x14ac:dyDescent="0.3">
      <c r="A90" t="str">
        <f>Clean_Data!A89</f>
        <v>C088</v>
      </c>
      <c r="B90">
        <f>Clean_Data!B89</f>
        <v>28951</v>
      </c>
      <c r="C90">
        <f>Clean_Data!I89</f>
        <v>25720</v>
      </c>
      <c r="D90">
        <f>Clean_Data!H89</f>
        <v>0.3</v>
      </c>
      <c r="E90">
        <f t="shared" si="2"/>
        <v>3231</v>
      </c>
      <c r="H90" t="str">
        <f t="shared" si="3"/>
        <v>Low Rev – Low Profit</v>
      </c>
    </row>
    <row r="91" spans="1:8" x14ac:dyDescent="0.3">
      <c r="A91" t="str">
        <f>Clean_Data!A90</f>
        <v>C089</v>
      </c>
      <c r="B91">
        <f>Clean_Data!B90</f>
        <v>41194</v>
      </c>
      <c r="C91">
        <f>Clean_Data!I90</f>
        <v>16792</v>
      </c>
      <c r="D91">
        <f>Clean_Data!H90</f>
        <v>0.04</v>
      </c>
      <c r="E91">
        <f t="shared" si="2"/>
        <v>24402</v>
      </c>
      <c r="H91" t="str">
        <f t="shared" si="3"/>
        <v>High Rev – High Profit</v>
      </c>
    </row>
    <row r="92" spans="1:8" x14ac:dyDescent="0.3">
      <c r="A92" t="str">
        <f>Clean_Data!A91</f>
        <v>C090</v>
      </c>
      <c r="B92">
        <f>Clean_Data!B91</f>
        <v>26014</v>
      </c>
      <c r="C92">
        <f>Clean_Data!I91</f>
        <v>12282</v>
      </c>
      <c r="D92">
        <f>Clean_Data!H91</f>
        <v>0.08</v>
      </c>
      <c r="E92">
        <f t="shared" si="2"/>
        <v>13732</v>
      </c>
      <c r="H92" t="str">
        <f t="shared" si="3"/>
        <v>Low Rev – Low Profit</v>
      </c>
    </row>
    <row r="93" spans="1:8" x14ac:dyDescent="0.3">
      <c r="A93" t="str">
        <f>Clean_Data!A92</f>
        <v>C091</v>
      </c>
      <c r="B93">
        <f>Clean_Data!B92</f>
        <v>49511</v>
      </c>
      <c r="C93">
        <f>Clean_Data!I92</f>
        <v>3763</v>
      </c>
      <c r="D93">
        <f>Clean_Data!H92</f>
        <v>0.02</v>
      </c>
      <c r="E93">
        <f t="shared" si="2"/>
        <v>45748</v>
      </c>
      <c r="H93" t="str">
        <f t="shared" si="3"/>
        <v>High Rev – High Profit</v>
      </c>
    </row>
    <row r="94" spans="1:8" x14ac:dyDescent="0.3">
      <c r="A94" t="str">
        <f>Clean_Data!A93</f>
        <v>C092</v>
      </c>
      <c r="B94">
        <f>Clean_Data!B93</f>
        <v>26646</v>
      </c>
      <c r="C94">
        <f>Clean_Data!I93</f>
        <v>6661</v>
      </c>
      <c r="D94">
        <f>Clean_Data!H93</f>
        <v>0.17</v>
      </c>
      <c r="E94">
        <f t="shared" si="2"/>
        <v>19985</v>
      </c>
      <c r="H94" t="str">
        <f t="shared" si="3"/>
        <v>Low Rev – Low Profit</v>
      </c>
    </row>
    <row r="95" spans="1:8" x14ac:dyDescent="0.3">
      <c r="A95" t="str">
        <f>Clean_Data!A94</f>
        <v>C093</v>
      </c>
      <c r="B95">
        <f>Clean_Data!B94</f>
        <v>39234</v>
      </c>
      <c r="C95">
        <f>Clean_Data!I94</f>
        <v>11465</v>
      </c>
      <c r="D95">
        <f>Clean_Data!H94</f>
        <v>0.16</v>
      </c>
      <c r="E95">
        <f t="shared" si="2"/>
        <v>27769</v>
      </c>
      <c r="H95" t="str">
        <f t="shared" si="3"/>
        <v>High Rev – High Profit</v>
      </c>
    </row>
    <row r="96" spans="1:8" x14ac:dyDescent="0.3">
      <c r="A96" t="str">
        <f>Clean_Data!A95</f>
        <v>C094</v>
      </c>
      <c r="B96">
        <f>Clean_Data!B95</f>
        <v>7533</v>
      </c>
      <c r="C96">
        <f>Clean_Data!I95</f>
        <v>26705</v>
      </c>
      <c r="D96">
        <f>Clean_Data!H95</f>
        <v>0.09</v>
      </c>
      <c r="E96">
        <f t="shared" si="2"/>
        <v>-19172</v>
      </c>
      <c r="H96" t="str">
        <f t="shared" si="3"/>
        <v>Low Rev – Low Profit</v>
      </c>
    </row>
    <row r="97" spans="1:8" x14ac:dyDescent="0.3">
      <c r="A97" t="str">
        <f>Clean_Data!A96</f>
        <v>C095</v>
      </c>
      <c r="B97">
        <f>Clean_Data!B96</f>
        <v>31527</v>
      </c>
      <c r="C97">
        <f>Clean_Data!I96</f>
        <v>6038</v>
      </c>
      <c r="D97">
        <f>Clean_Data!H96</f>
        <v>0.1</v>
      </c>
      <c r="E97">
        <f t="shared" si="2"/>
        <v>25489</v>
      </c>
      <c r="H97" t="str">
        <f t="shared" si="3"/>
        <v>Low Rev – High Profit</v>
      </c>
    </row>
    <row r="98" spans="1:8" x14ac:dyDescent="0.3">
      <c r="A98" t="str">
        <f>Clean_Data!A97</f>
        <v>C096</v>
      </c>
      <c r="B98">
        <f>Clean_Data!B97</f>
        <v>31344</v>
      </c>
      <c r="C98">
        <f>Clean_Data!I97</f>
        <v>18965</v>
      </c>
      <c r="D98">
        <f>Clean_Data!H97</f>
        <v>0.14000000000000001</v>
      </c>
      <c r="E98">
        <f t="shared" si="2"/>
        <v>12379</v>
      </c>
      <c r="H98" t="str">
        <f t="shared" si="3"/>
        <v>Low Rev – Low Profit</v>
      </c>
    </row>
    <row r="99" spans="1:8" x14ac:dyDescent="0.3">
      <c r="A99" t="str">
        <f>Clean_Data!A98</f>
        <v>C097</v>
      </c>
      <c r="B99">
        <f>Clean_Data!B98</f>
        <v>24525</v>
      </c>
      <c r="C99">
        <f>Clean_Data!I98</f>
        <v>9483</v>
      </c>
      <c r="D99">
        <f>Clean_Data!H98</f>
        <v>0.27</v>
      </c>
      <c r="E99">
        <f t="shared" si="2"/>
        <v>15042</v>
      </c>
      <c r="H99" t="str">
        <f t="shared" si="3"/>
        <v>Low Rev – Low Profit</v>
      </c>
    </row>
    <row r="100" spans="1:8" x14ac:dyDescent="0.3">
      <c r="A100" t="str">
        <f>Clean_Data!A99</f>
        <v>C098</v>
      </c>
      <c r="B100">
        <f>Clean_Data!B99</f>
        <v>37554</v>
      </c>
      <c r="C100">
        <f>Clean_Data!I99</f>
        <v>22882</v>
      </c>
      <c r="D100">
        <f>Clean_Data!H99</f>
        <v>0.2</v>
      </c>
      <c r="E100">
        <f t="shared" si="2"/>
        <v>14672</v>
      </c>
      <c r="H100" t="str">
        <f t="shared" si="3"/>
        <v>Low Rev – Low Profit</v>
      </c>
    </row>
    <row r="101" spans="1:8" x14ac:dyDescent="0.3">
      <c r="A101" t="str">
        <f>Clean_Data!A100</f>
        <v>C099</v>
      </c>
      <c r="B101">
        <f>Clean_Data!B100</f>
        <v>40217</v>
      </c>
      <c r="C101">
        <f>Clean_Data!I100</f>
        <v>26218</v>
      </c>
      <c r="D101">
        <f>Clean_Data!H100</f>
        <v>0.15</v>
      </c>
      <c r="E101">
        <f t="shared" si="2"/>
        <v>13999</v>
      </c>
      <c r="H101" t="str">
        <f t="shared" si="3"/>
        <v>High Rev – Low Profit</v>
      </c>
    </row>
    <row r="102" spans="1:8" x14ac:dyDescent="0.3">
      <c r="A102" t="str">
        <f>Clean_Data!A101</f>
        <v>C100</v>
      </c>
      <c r="B102">
        <f>Clean_Data!B101</f>
        <v>37270</v>
      </c>
      <c r="C102">
        <f>Clean_Data!I101</f>
        <v>13913</v>
      </c>
      <c r="D102">
        <f>Clean_Data!H101</f>
        <v>0.27</v>
      </c>
      <c r="E102">
        <f t="shared" si="2"/>
        <v>23357</v>
      </c>
      <c r="H102" t="str">
        <f t="shared" si="3"/>
        <v>Low Rev – High Profit</v>
      </c>
    </row>
    <row r="103" spans="1:8" x14ac:dyDescent="0.3">
      <c r="A103" t="str">
        <f>Clean_Data!A102</f>
        <v>C101</v>
      </c>
      <c r="B103">
        <f>Clean_Data!B102</f>
        <v>46174</v>
      </c>
      <c r="C103">
        <f>Clean_Data!I102</f>
        <v>27091</v>
      </c>
      <c r="D103">
        <f>Clean_Data!H102</f>
        <v>0.28000000000000003</v>
      </c>
      <c r="E103">
        <f t="shared" si="2"/>
        <v>19083</v>
      </c>
      <c r="H103" t="str">
        <f t="shared" si="3"/>
        <v>High Rev – Low Profit</v>
      </c>
    </row>
    <row r="104" spans="1:8" x14ac:dyDescent="0.3">
      <c r="A104" t="str">
        <f>Clean_Data!A103</f>
        <v>C102</v>
      </c>
      <c r="B104">
        <f>Clean_Data!B103</f>
        <v>5519</v>
      </c>
      <c r="C104">
        <f>Clean_Data!I103</f>
        <v>10843</v>
      </c>
      <c r="D104">
        <f>Clean_Data!H103</f>
        <v>0.17</v>
      </c>
      <c r="E104">
        <f t="shared" si="2"/>
        <v>-5324</v>
      </c>
      <c r="H104" t="str">
        <f t="shared" si="3"/>
        <v>Low Rev – Low Profit</v>
      </c>
    </row>
    <row r="105" spans="1:8" x14ac:dyDescent="0.3">
      <c r="A105" t="str">
        <f>Clean_Data!A104</f>
        <v>C103</v>
      </c>
      <c r="B105">
        <f>Clean_Data!B104</f>
        <v>41152</v>
      </c>
      <c r="C105">
        <f>Clean_Data!I104</f>
        <v>28530</v>
      </c>
      <c r="D105">
        <f>Clean_Data!H104</f>
        <v>0.27</v>
      </c>
      <c r="E105">
        <f t="shared" si="2"/>
        <v>12622</v>
      </c>
      <c r="H105" t="str">
        <f t="shared" si="3"/>
        <v>High Rev – Low Profit</v>
      </c>
    </row>
    <row r="106" spans="1:8" x14ac:dyDescent="0.3">
      <c r="A106" t="str">
        <f>Clean_Data!A105</f>
        <v>C104</v>
      </c>
      <c r="B106">
        <f>Clean_Data!B105</f>
        <v>13354</v>
      </c>
      <c r="C106">
        <f>Clean_Data!I105</f>
        <v>5164</v>
      </c>
      <c r="D106">
        <f>Clean_Data!H105</f>
        <v>0.16</v>
      </c>
      <c r="E106">
        <f t="shared" si="2"/>
        <v>8190</v>
      </c>
      <c r="H106" t="str">
        <f t="shared" si="3"/>
        <v>Low Rev – Low Profit</v>
      </c>
    </row>
    <row r="107" spans="1:8" x14ac:dyDescent="0.3">
      <c r="A107" t="str">
        <f>Clean_Data!A106</f>
        <v>C105</v>
      </c>
      <c r="B107">
        <f>Clean_Data!B106</f>
        <v>34921</v>
      </c>
      <c r="C107">
        <f>Clean_Data!I106</f>
        <v>12026</v>
      </c>
      <c r="D107">
        <f>Clean_Data!H106</f>
        <v>0.02</v>
      </c>
      <c r="E107">
        <f t="shared" si="2"/>
        <v>22895</v>
      </c>
      <c r="H107" t="str">
        <f t="shared" si="3"/>
        <v>Low Rev – High Profit</v>
      </c>
    </row>
    <row r="108" spans="1:8" x14ac:dyDescent="0.3">
      <c r="A108" t="str">
        <f>Clean_Data!A107</f>
        <v>C106</v>
      </c>
      <c r="B108">
        <f>Clean_Data!B107</f>
        <v>45929</v>
      </c>
      <c r="C108">
        <f>Clean_Data!I107</f>
        <v>19724</v>
      </c>
      <c r="D108">
        <f>Clean_Data!H107</f>
        <v>0.08</v>
      </c>
      <c r="E108">
        <f t="shared" si="2"/>
        <v>26205</v>
      </c>
      <c r="H108" t="str">
        <f t="shared" si="3"/>
        <v>High Rev – High Profit</v>
      </c>
    </row>
    <row r="109" spans="1:8" x14ac:dyDescent="0.3">
      <c r="A109" t="str">
        <f>Clean_Data!A108</f>
        <v>C107</v>
      </c>
      <c r="B109">
        <f>Clean_Data!B108</f>
        <v>11812</v>
      </c>
      <c r="C109">
        <f>Clean_Data!I108</f>
        <v>16549</v>
      </c>
      <c r="D109">
        <f>Clean_Data!H108</f>
        <v>0.25</v>
      </c>
      <c r="E109">
        <f t="shared" si="2"/>
        <v>-4737</v>
      </c>
      <c r="H109" t="str">
        <f t="shared" si="3"/>
        <v>Low Rev – Low Profit</v>
      </c>
    </row>
    <row r="110" spans="1:8" x14ac:dyDescent="0.3">
      <c r="A110" t="str">
        <f>Clean_Data!A109</f>
        <v>C108</v>
      </c>
      <c r="B110">
        <f>Clean_Data!B109</f>
        <v>28729</v>
      </c>
      <c r="C110">
        <f>Clean_Data!I109</f>
        <v>18231</v>
      </c>
      <c r="D110">
        <f>Clean_Data!H109</f>
        <v>0.26</v>
      </c>
      <c r="E110">
        <f t="shared" si="2"/>
        <v>10498</v>
      </c>
      <c r="H110" t="str">
        <f t="shared" si="3"/>
        <v>Low Rev – Low Profit</v>
      </c>
    </row>
    <row r="111" spans="1:8" x14ac:dyDescent="0.3">
      <c r="A111" t="str">
        <f>Clean_Data!A110</f>
        <v>C109</v>
      </c>
      <c r="B111">
        <f>Clean_Data!B110</f>
        <v>10721</v>
      </c>
      <c r="C111">
        <f>Clean_Data!I110</f>
        <v>10898</v>
      </c>
      <c r="D111">
        <f>Clean_Data!H110</f>
        <v>0.27</v>
      </c>
      <c r="E111">
        <f t="shared" si="2"/>
        <v>-177</v>
      </c>
      <c r="H111" t="str">
        <f t="shared" si="3"/>
        <v>Low Rev – Low Profit</v>
      </c>
    </row>
    <row r="112" spans="1:8" x14ac:dyDescent="0.3">
      <c r="A112" t="str">
        <f>Clean_Data!A111</f>
        <v>C110</v>
      </c>
      <c r="B112">
        <f>Clean_Data!B111</f>
        <v>15546</v>
      </c>
      <c r="C112">
        <f>Clean_Data!I111</f>
        <v>29127</v>
      </c>
      <c r="D112">
        <f>Clean_Data!H111</f>
        <v>0.2</v>
      </c>
      <c r="E112">
        <f t="shared" si="2"/>
        <v>-13581</v>
      </c>
      <c r="H112" t="str">
        <f t="shared" si="3"/>
        <v>Low Rev – Low Profit</v>
      </c>
    </row>
    <row r="113" spans="1:8" x14ac:dyDescent="0.3">
      <c r="A113" t="str">
        <f>Clean_Data!A112</f>
        <v>C111</v>
      </c>
      <c r="B113">
        <f>Clean_Data!B112</f>
        <v>32110</v>
      </c>
      <c r="C113">
        <f>Clean_Data!I112</f>
        <v>3175</v>
      </c>
      <c r="D113">
        <f>Clean_Data!H112</f>
        <v>0.28000000000000003</v>
      </c>
      <c r="E113">
        <f t="shared" si="2"/>
        <v>28935</v>
      </c>
      <c r="H113" t="str">
        <f t="shared" si="3"/>
        <v>Low Rev – High Profit</v>
      </c>
    </row>
    <row r="114" spans="1:8" x14ac:dyDescent="0.3">
      <c r="A114" t="str">
        <f>Clean_Data!A113</f>
        <v>C112</v>
      </c>
      <c r="B114">
        <f>Clean_Data!B113</f>
        <v>14838</v>
      </c>
      <c r="C114">
        <f>Clean_Data!I113</f>
        <v>10895</v>
      </c>
      <c r="D114">
        <f>Clean_Data!H113</f>
        <v>0.3</v>
      </c>
      <c r="E114">
        <f t="shared" si="2"/>
        <v>3943</v>
      </c>
      <c r="H114" t="str">
        <f t="shared" si="3"/>
        <v>Low Rev – Low Profit</v>
      </c>
    </row>
    <row r="115" spans="1:8" x14ac:dyDescent="0.3">
      <c r="A115" t="str">
        <f>Clean_Data!A114</f>
        <v>C113</v>
      </c>
      <c r="B115">
        <f>Clean_Data!B114</f>
        <v>49218</v>
      </c>
      <c r="C115">
        <f>Clean_Data!I114</f>
        <v>20666</v>
      </c>
      <c r="D115">
        <f>Clean_Data!H114</f>
        <v>0.11</v>
      </c>
      <c r="E115">
        <f t="shared" si="2"/>
        <v>28552</v>
      </c>
      <c r="H115" t="str">
        <f t="shared" si="3"/>
        <v>High Rev – High Profit</v>
      </c>
    </row>
    <row r="116" spans="1:8" x14ac:dyDescent="0.3">
      <c r="A116" t="str">
        <f>Clean_Data!A115</f>
        <v>C114</v>
      </c>
      <c r="B116">
        <f>Clean_Data!B115</f>
        <v>39243</v>
      </c>
      <c r="C116">
        <f>Clean_Data!I115</f>
        <v>23117</v>
      </c>
      <c r="D116">
        <f>Clean_Data!H115</f>
        <v>0.05</v>
      </c>
      <c r="E116">
        <f t="shared" si="2"/>
        <v>16126</v>
      </c>
      <c r="H116" t="str">
        <f t="shared" si="3"/>
        <v>High Rev – Low Profit</v>
      </c>
    </row>
    <row r="117" spans="1:8" x14ac:dyDescent="0.3">
      <c r="A117" t="str">
        <f>Clean_Data!A116</f>
        <v>C115</v>
      </c>
      <c r="B117">
        <f>Clean_Data!B116</f>
        <v>38920</v>
      </c>
      <c r="C117">
        <f>Clean_Data!I116</f>
        <v>15777</v>
      </c>
      <c r="D117">
        <f>Clean_Data!H116</f>
        <v>0.22</v>
      </c>
      <c r="E117">
        <f t="shared" si="2"/>
        <v>23143</v>
      </c>
      <c r="H117" t="str">
        <f t="shared" si="3"/>
        <v>Low Rev – High Profit</v>
      </c>
    </row>
    <row r="118" spans="1:8" x14ac:dyDescent="0.3">
      <c r="A118" t="str">
        <f>Clean_Data!A117</f>
        <v>C116</v>
      </c>
      <c r="B118">
        <f>Clean_Data!B117</f>
        <v>24201</v>
      </c>
      <c r="C118">
        <f>Clean_Data!I117</f>
        <v>22690</v>
      </c>
      <c r="D118">
        <f>Clean_Data!H117</f>
        <v>0.1</v>
      </c>
      <c r="E118">
        <f t="shared" si="2"/>
        <v>1511</v>
      </c>
      <c r="H118" t="str">
        <f t="shared" si="3"/>
        <v>Low Rev – Low Profit</v>
      </c>
    </row>
    <row r="119" spans="1:8" x14ac:dyDescent="0.3">
      <c r="A119" t="str">
        <f>Clean_Data!A118</f>
        <v>C117</v>
      </c>
      <c r="B119">
        <f>Clean_Data!B118</f>
        <v>43400</v>
      </c>
      <c r="C119">
        <f>Clean_Data!I118</f>
        <v>16549</v>
      </c>
      <c r="D119">
        <f>Clean_Data!H118</f>
        <v>0.21</v>
      </c>
      <c r="E119">
        <f t="shared" si="2"/>
        <v>26851</v>
      </c>
      <c r="H119" t="str">
        <f t="shared" si="3"/>
        <v>High Rev – High Profit</v>
      </c>
    </row>
    <row r="120" spans="1:8" x14ac:dyDescent="0.3">
      <c r="A120" t="str">
        <f>Clean_Data!A119</f>
        <v>C118</v>
      </c>
      <c r="B120">
        <f>Clean_Data!B119</f>
        <v>1980</v>
      </c>
      <c r="C120">
        <f>Clean_Data!I119</f>
        <v>12365</v>
      </c>
      <c r="D120">
        <f>Clean_Data!H119</f>
        <v>0.03</v>
      </c>
      <c r="E120">
        <f t="shared" si="2"/>
        <v>-10385</v>
      </c>
      <c r="H120" t="str">
        <f t="shared" si="3"/>
        <v>Low Rev – Low Profit</v>
      </c>
    </row>
    <row r="121" spans="1:8" x14ac:dyDescent="0.3">
      <c r="A121" t="str">
        <f>Clean_Data!A120</f>
        <v>C119</v>
      </c>
      <c r="B121">
        <f>Clean_Data!B120</f>
        <v>5949</v>
      </c>
      <c r="C121">
        <f>Clean_Data!I120</f>
        <v>10192</v>
      </c>
      <c r="D121">
        <f>Clean_Data!H120</f>
        <v>0.04</v>
      </c>
      <c r="E121">
        <f t="shared" si="2"/>
        <v>-4243</v>
      </c>
      <c r="H121" t="str">
        <f t="shared" si="3"/>
        <v>Low Rev – Low Profit</v>
      </c>
    </row>
    <row r="122" spans="1:8" x14ac:dyDescent="0.3">
      <c r="A122" t="str">
        <f>Clean_Data!A121</f>
        <v>C120</v>
      </c>
      <c r="B122">
        <f>Clean_Data!B121</f>
        <v>7435</v>
      </c>
      <c r="C122">
        <f>Clean_Data!I121</f>
        <v>7650</v>
      </c>
      <c r="D122">
        <f>Clean_Data!H121</f>
        <v>0.2</v>
      </c>
      <c r="E122">
        <f t="shared" si="2"/>
        <v>-215</v>
      </c>
      <c r="H122" t="str">
        <f t="shared" si="3"/>
        <v>Low Rev – Low Profit</v>
      </c>
    </row>
    <row r="123" spans="1:8" x14ac:dyDescent="0.3">
      <c r="A123" t="str">
        <f>Clean_Data!A122</f>
        <v>C121</v>
      </c>
      <c r="B123">
        <f>Clean_Data!B122</f>
        <v>33445</v>
      </c>
      <c r="C123">
        <f>Clean_Data!I122</f>
        <v>29687</v>
      </c>
      <c r="D123">
        <f>Clean_Data!H122</f>
        <v>0.26</v>
      </c>
      <c r="E123">
        <f t="shared" si="2"/>
        <v>3758</v>
      </c>
      <c r="H123" t="str">
        <f t="shared" si="3"/>
        <v>Low Rev – Low Profit</v>
      </c>
    </row>
    <row r="124" spans="1:8" x14ac:dyDescent="0.3">
      <c r="A124" t="str">
        <f>Clean_Data!A123</f>
        <v>C122</v>
      </c>
      <c r="B124">
        <f>Clean_Data!B123</f>
        <v>38276</v>
      </c>
      <c r="C124">
        <f>Clean_Data!I123</f>
        <v>24917</v>
      </c>
      <c r="D124">
        <f>Clean_Data!H123</f>
        <v>0.02</v>
      </c>
      <c r="E124">
        <f t="shared" si="2"/>
        <v>13359</v>
      </c>
      <c r="H124" t="str">
        <f t="shared" si="3"/>
        <v>Low Rev – Low Profit</v>
      </c>
    </row>
    <row r="125" spans="1:8" x14ac:dyDescent="0.3">
      <c r="A125" t="str">
        <f>Clean_Data!A124</f>
        <v>C123</v>
      </c>
      <c r="B125">
        <f>Clean_Data!B124</f>
        <v>16839</v>
      </c>
      <c r="C125">
        <f>Clean_Data!I124</f>
        <v>11200</v>
      </c>
      <c r="D125">
        <f>Clean_Data!H124</f>
        <v>0.19</v>
      </c>
      <c r="E125">
        <f t="shared" si="2"/>
        <v>5639</v>
      </c>
      <c r="H125" t="str">
        <f t="shared" si="3"/>
        <v>Low Rev – Low Profit</v>
      </c>
    </row>
    <row r="126" spans="1:8" x14ac:dyDescent="0.3">
      <c r="A126" t="str">
        <f>Clean_Data!A125</f>
        <v>C124</v>
      </c>
      <c r="B126">
        <f>Clean_Data!B125</f>
        <v>47198</v>
      </c>
      <c r="C126">
        <f>Clean_Data!I125</f>
        <v>29362</v>
      </c>
      <c r="D126">
        <f>Clean_Data!H125</f>
        <v>0.24</v>
      </c>
      <c r="E126">
        <f t="shared" si="2"/>
        <v>17836</v>
      </c>
      <c r="H126" t="str">
        <f t="shared" si="3"/>
        <v>High Rev – Low Profit</v>
      </c>
    </row>
    <row r="127" spans="1:8" x14ac:dyDescent="0.3">
      <c r="A127" t="str">
        <f>Clean_Data!A126</f>
        <v>C125</v>
      </c>
      <c r="B127">
        <f>Clean_Data!B126</f>
        <v>32948</v>
      </c>
      <c r="C127">
        <f>Clean_Data!I126</f>
        <v>16549</v>
      </c>
      <c r="D127">
        <f>Clean_Data!H126</f>
        <v>0.2</v>
      </c>
      <c r="E127">
        <f t="shared" si="2"/>
        <v>16399</v>
      </c>
      <c r="H127" t="str">
        <f t="shared" si="3"/>
        <v>Low Rev – Low Profit</v>
      </c>
    </row>
    <row r="128" spans="1:8" x14ac:dyDescent="0.3">
      <c r="A128" t="str">
        <f>Clean_Data!A127</f>
        <v>C126</v>
      </c>
      <c r="B128">
        <f>Clean_Data!B127</f>
        <v>48524</v>
      </c>
      <c r="C128">
        <f>Clean_Data!I127</f>
        <v>16959</v>
      </c>
      <c r="D128">
        <f>Clean_Data!H127</f>
        <v>0.26</v>
      </c>
      <c r="E128">
        <f t="shared" si="2"/>
        <v>31565</v>
      </c>
      <c r="H128" t="str">
        <f t="shared" si="3"/>
        <v>High Rev – High Profit</v>
      </c>
    </row>
    <row r="129" spans="1:8" x14ac:dyDescent="0.3">
      <c r="A129" t="str">
        <f>Clean_Data!A128</f>
        <v>C127</v>
      </c>
      <c r="B129">
        <f>Clean_Data!B128</f>
        <v>7497</v>
      </c>
      <c r="C129">
        <f>Clean_Data!I128</f>
        <v>638</v>
      </c>
      <c r="D129">
        <f>Clean_Data!H128</f>
        <v>0.21</v>
      </c>
      <c r="E129">
        <f t="shared" si="2"/>
        <v>6859</v>
      </c>
      <c r="H129" t="str">
        <f t="shared" si="3"/>
        <v>Low Rev – Low Profit</v>
      </c>
    </row>
    <row r="130" spans="1:8" x14ac:dyDescent="0.3">
      <c r="A130" t="str">
        <f>Clean_Data!A129</f>
        <v>C128</v>
      </c>
      <c r="B130">
        <f>Clean_Data!B129</f>
        <v>23679</v>
      </c>
      <c r="C130">
        <f>Clean_Data!I129</f>
        <v>16549</v>
      </c>
      <c r="D130">
        <f>Clean_Data!H129</f>
        <v>0.21</v>
      </c>
      <c r="E130">
        <f t="shared" si="2"/>
        <v>7130</v>
      </c>
      <c r="H130" t="str">
        <f t="shared" si="3"/>
        <v>Low Rev – Low Profit</v>
      </c>
    </row>
    <row r="131" spans="1:8" x14ac:dyDescent="0.3">
      <c r="A131" t="str">
        <f>Clean_Data!A130</f>
        <v>C129</v>
      </c>
      <c r="B131">
        <f>Clean_Data!B130</f>
        <v>41075</v>
      </c>
      <c r="C131">
        <f>Clean_Data!I130</f>
        <v>21795</v>
      </c>
      <c r="D131">
        <f>Clean_Data!H130</f>
        <v>0.17</v>
      </c>
      <c r="E131">
        <f t="shared" si="2"/>
        <v>19280</v>
      </c>
      <c r="H131" t="str">
        <f t="shared" si="3"/>
        <v>High Rev – Low Profit</v>
      </c>
    </row>
    <row r="132" spans="1:8" x14ac:dyDescent="0.3">
      <c r="A132" t="str">
        <f>Clean_Data!A131</f>
        <v>C130</v>
      </c>
      <c r="B132">
        <f>Clean_Data!B131</f>
        <v>34064</v>
      </c>
      <c r="C132">
        <f>Clean_Data!I131</f>
        <v>28932</v>
      </c>
      <c r="D132">
        <f>Clean_Data!H131</f>
        <v>0.28999999999999998</v>
      </c>
      <c r="E132">
        <f t="shared" ref="E132:E195" si="4">B132-C132</f>
        <v>5132</v>
      </c>
      <c r="H132" t="str">
        <f t="shared" ref="H132:H195" si="5">IF(AND(B132&gt;=$F$3, E132&gt;=$G$3),
"High Rev – High Profit",
IF(AND(B132&gt;=$F$3, E132&lt;$G$3),
"High Rev – Low Profit",
IF(AND(B132&lt;$F$3, E132&gt;=$G$3),
"Low Rev – High Profit",
"Low Rev – Low Profit")))</f>
        <v>Low Rev – Low Profit</v>
      </c>
    </row>
    <row r="133" spans="1:8" x14ac:dyDescent="0.3">
      <c r="A133" t="str">
        <f>Clean_Data!A132</f>
        <v>C131</v>
      </c>
      <c r="B133">
        <f>Clean_Data!B132</f>
        <v>9293</v>
      </c>
      <c r="C133">
        <f>Clean_Data!I132</f>
        <v>4215</v>
      </c>
      <c r="D133">
        <f>Clean_Data!H132</f>
        <v>0.24</v>
      </c>
      <c r="E133">
        <f t="shared" si="4"/>
        <v>5078</v>
      </c>
      <c r="H133" t="str">
        <f t="shared" si="5"/>
        <v>Low Rev – Low Profit</v>
      </c>
    </row>
    <row r="134" spans="1:8" x14ac:dyDescent="0.3">
      <c r="A134" t="str">
        <f>Clean_Data!A133</f>
        <v>C132</v>
      </c>
      <c r="B134">
        <f>Clean_Data!B133</f>
        <v>15078</v>
      </c>
      <c r="C134">
        <f>Clean_Data!I133</f>
        <v>10338</v>
      </c>
      <c r="D134">
        <f>Clean_Data!H133</f>
        <v>0.05</v>
      </c>
      <c r="E134">
        <f t="shared" si="4"/>
        <v>4740</v>
      </c>
      <c r="H134" t="str">
        <f t="shared" si="5"/>
        <v>Low Rev – Low Profit</v>
      </c>
    </row>
    <row r="135" spans="1:8" x14ac:dyDescent="0.3">
      <c r="A135" t="str">
        <f>Clean_Data!A134</f>
        <v>C133</v>
      </c>
      <c r="B135">
        <f>Clean_Data!B134</f>
        <v>20076</v>
      </c>
      <c r="C135">
        <f>Clean_Data!I134</f>
        <v>16549</v>
      </c>
      <c r="D135">
        <f>Clean_Data!H134</f>
        <v>0.28000000000000003</v>
      </c>
      <c r="E135">
        <f t="shared" si="4"/>
        <v>3527</v>
      </c>
      <c r="H135" t="str">
        <f t="shared" si="5"/>
        <v>Low Rev – Low Profit</v>
      </c>
    </row>
    <row r="136" spans="1:8" x14ac:dyDescent="0.3">
      <c r="A136" t="str">
        <f>Clean_Data!A135</f>
        <v>C134</v>
      </c>
      <c r="B136">
        <f>Clean_Data!B135</f>
        <v>16853</v>
      </c>
      <c r="C136">
        <f>Clean_Data!I135</f>
        <v>12995</v>
      </c>
      <c r="D136">
        <f>Clean_Data!H135</f>
        <v>0.24</v>
      </c>
      <c r="E136">
        <f t="shared" si="4"/>
        <v>3858</v>
      </c>
      <c r="H136" t="str">
        <f t="shared" si="5"/>
        <v>Low Rev – Low Profit</v>
      </c>
    </row>
    <row r="137" spans="1:8" x14ac:dyDescent="0.3">
      <c r="A137" t="str">
        <f>Clean_Data!A136</f>
        <v>C135</v>
      </c>
      <c r="B137">
        <f>Clean_Data!B136</f>
        <v>36002</v>
      </c>
      <c r="C137">
        <f>Clean_Data!I136</f>
        <v>13974</v>
      </c>
      <c r="D137">
        <f>Clean_Data!H136</f>
        <v>0.11</v>
      </c>
      <c r="E137">
        <f t="shared" si="4"/>
        <v>22028</v>
      </c>
      <c r="H137" t="str">
        <f t="shared" si="5"/>
        <v>Low Rev – Low Profit</v>
      </c>
    </row>
    <row r="138" spans="1:8" x14ac:dyDescent="0.3">
      <c r="A138" t="str">
        <f>Clean_Data!A137</f>
        <v>C136</v>
      </c>
      <c r="B138">
        <f>Clean_Data!B137</f>
        <v>1432</v>
      </c>
      <c r="C138">
        <f>Clean_Data!I137</f>
        <v>29495</v>
      </c>
      <c r="D138">
        <f>Clean_Data!H137</f>
        <v>0.25</v>
      </c>
      <c r="E138">
        <f t="shared" si="4"/>
        <v>-28063</v>
      </c>
      <c r="H138" t="str">
        <f t="shared" si="5"/>
        <v>Low Rev – Low Profit</v>
      </c>
    </row>
    <row r="139" spans="1:8" x14ac:dyDescent="0.3">
      <c r="A139" t="str">
        <f>Clean_Data!A138</f>
        <v>C137</v>
      </c>
      <c r="B139">
        <f>Clean_Data!B138</f>
        <v>17616</v>
      </c>
      <c r="C139">
        <f>Clean_Data!I138</f>
        <v>8862</v>
      </c>
      <c r="D139">
        <f>Clean_Data!H138</f>
        <v>0.26</v>
      </c>
      <c r="E139">
        <f t="shared" si="4"/>
        <v>8754</v>
      </c>
      <c r="H139" t="str">
        <f t="shared" si="5"/>
        <v>Low Rev – Low Profit</v>
      </c>
    </row>
    <row r="140" spans="1:8" x14ac:dyDescent="0.3">
      <c r="A140" t="str">
        <f>Clean_Data!A139</f>
        <v>C138</v>
      </c>
      <c r="B140">
        <f>Clean_Data!B139</f>
        <v>41141</v>
      </c>
      <c r="C140">
        <f>Clean_Data!I139</f>
        <v>14530</v>
      </c>
      <c r="D140">
        <f>Clean_Data!H139</f>
        <v>0.27</v>
      </c>
      <c r="E140">
        <f t="shared" si="4"/>
        <v>26611</v>
      </c>
      <c r="H140" t="str">
        <f t="shared" si="5"/>
        <v>High Rev – High Profit</v>
      </c>
    </row>
    <row r="141" spans="1:8" x14ac:dyDescent="0.3">
      <c r="A141" t="str">
        <f>Clean_Data!A140</f>
        <v>C139</v>
      </c>
      <c r="B141">
        <f>Clean_Data!B140</f>
        <v>25577</v>
      </c>
      <c r="C141">
        <f>Clean_Data!I140</f>
        <v>21498</v>
      </c>
      <c r="D141">
        <f>Clean_Data!H140</f>
        <v>0.23</v>
      </c>
      <c r="E141">
        <f t="shared" si="4"/>
        <v>4079</v>
      </c>
      <c r="H141" t="str">
        <f t="shared" si="5"/>
        <v>Low Rev – Low Profit</v>
      </c>
    </row>
    <row r="142" spans="1:8" x14ac:dyDescent="0.3">
      <c r="A142" t="str">
        <f>Clean_Data!A141</f>
        <v>C140</v>
      </c>
      <c r="B142">
        <f>Clean_Data!B141</f>
        <v>45842</v>
      </c>
      <c r="C142">
        <f>Clean_Data!I141</f>
        <v>4243</v>
      </c>
      <c r="D142">
        <f>Clean_Data!H141</f>
        <v>0.2</v>
      </c>
      <c r="E142">
        <f t="shared" si="4"/>
        <v>41599</v>
      </c>
      <c r="H142" t="str">
        <f t="shared" si="5"/>
        <v>High Rev – High Profit</v>
      </c>
    </row>
    <row r="143" spans="1:8" x14ac:dyDescent="0.3">
      <c r="A143" t="str">
        <f>Clean_Data!A142</f>
        <v>C141</v>
      </c>
      <c r="B143">
        <f>Clean_Data!B142</f>
        <v>32790</v>
      </c>
      <c r="C143">
        <f>Clean_Data!I142</f>
        <v>20381</v>
      </c>
      <c r="D143">
        <f>Clean_Data!H142</f>
        <v>0.06</v>
      </c>
      <c r="E143">
        <f t="shared" si="4"/>
        <v>12409</v>
      </c>
      <c r="H143" t="str">
        <f t="shared" si="5"/>
        <v>Low Rev – Low Profit</v>
      </c>
    </row>
    <row r="144" spans="1:8" x14ac:dyDescent="0.3">
      <c r="A144" t="str">
        <f>Clean_Data!A143</f>
        <v>C142</v>
      </c>
      <c r="B144">
        <f>Clean_Data!B143</f>
        <v>10315</v>
      </c>
      <c r="C144">
        <f>Clean_Data!I143</f>
        <v>27581</v>
      </c>
      <c r="D144">
        <f>Clean_Data!H143</f>
        <v>0.01</v>
      </c>
      <c r="E144">
        <f t="shared" si="4"/>
        <v>-17266</v>
      </c>
      <c r="H144" t="str">
        <f t="shared" si="5"/>
        <v>Low Rev – Low Profit</v>
      </c>
    </row>
    <row r="145" spans="1:8" x14ac:dyDescent="0.3">
      <c r="A145" t="str">
        <f>Clean_Data!A144</f>
        <v>C143</v>
      </c>
      <c r="B145">
        <f>Clean_Data!B144</f>
        <v>31695</v>
      </c>
      <c r="C145">
        <f>Clean_Data!I144</f>
        <v>16549</v>
      </c>
      <c r="D145">
        <f>Clean_Data!H144</f>
        <v>0.24</v>
      </c>
      <c r="E145">
        <f t="shared" si="4"/>
        <v>15146</v>
      </c>
      <c r="H145" t="str">
        <f t="shared" si="5"/>
        <v>Low Rev – Low Profit</v>
      </c>
    </row>
    <row r="146" spans="1:8" x14ac:dyDescent="0.3">
      <c r="A146" t="str">
        <f>Clean_Data!A145</f>
        <v>C144</v>
      </c>
      <c r="B146">
        <f>Clean_Data!B145</f>
        <v>7229</v>
      </c>
      <c r="C146">
        <f>Clean_Data!I145</f>
        <v>29639</v>
      </c>
      <c r="D146">
        <f>Clean_Data!H145</f>
        <v>0.28000000000000003</v>
      </c>
      <c r="E146">
        <f t="shared" si="4"/>
        <v>-22410</v>
      </c>
      <c r="H146" t="str">
        <f t="shared" si="5"/>
        <v>Low Rev – Low Profit</v>
      </c>
    </row>
    <row r="147" spans="1:8" x14ac:dyDescent="0.3">
      <c r="A147" t="str">
        <f>Clean_Data!A146</f>
        <v>C145</v>
      </c>
      <c r="B147">
        <f>Clean_Data!B146</f>
        <v>1081</v>
      </c>
      <c r="C147">
        <f>Clean_Data!I146</f>
        <v>8655</v>
      </c>
      <c r="D147">
        <f>Clean_Data!H146</f>
        <v>0.22</v>
      </c>
      <c r="E147">
        <f t="shared" si="4"/>
        <v>-7574</v>
      </c>
      <c r="H147" t="str">
        <f t="shared" si="5"/>
        <v>Low Rev – Low Profit</v>
      </c>
    </row>
    <row r="148" spans="1:8" x14ac:dyDescent="0.3">
      <c r="A148" t="str">
        <f>Clean_Data!A147</f>
        <v>C146</v>
      </c>
      <c r="B148">
        <f>Clean_Data!B147</f>
        <v>27147</v>
      </c>
      <c r="C148">
        <f>Clean_Data!I147</f>
        <v>14536</v>
      </c>
      <c r="D148">
        <f>Clean_Data!H147</f>
        <v>0.16</v>
      </c>
      <c r="E148">
        <f t="shared" si="4"/>
        <v>12611</v>
      </c>
      <c r="H148" t="str">
        <f t="shared" si="5"/>
        <v>Low Rev – Low Profit</v>
      </c>
    </row>
    <row r="149" spans="1:8" x14ac:dyDescent="0.3">
      <c r="A149" t="str">
        <f>Clean_Data!A148</f>
        <v>C147</v>
      </c>
      <c r="B149">
        <f>Clean_Data!B148</f>
        <v>28860</v>
      </c>
      <c r="C149">
        <f>Clean_Data!I148</f>
        <v>13908</v>
      </c>
      <c r="D149">
        <f>Clean_Data!H148</f>
        <v>0.17</v>
      </c>
      <c r="E149">
        <f t="shared" si="4"/>
        <v>14952</v>
      </c>
      <c r="H149" t="str">
        <f t="shared" si="5"/>
        <v>Low Rev – Low Profit</v>
      </c>
    </row>
    <row r="150" spans="1:8" x14ac:dyDescent="0.3">
      <c r="A150" t="str">
        <f>Clean_Data!A149</f>
        <v>C148</v>
      </c>
      <c r="B150">
        <f>Clean_Data!B149</f>
        <v>20378</v>
      </c>
      <c r="C150">
        <f>Clean_Data!I149</f>
        <v>27433</v>
      </c>
      <c r="D150">
        <f>Clean_Data!H149</f>
        <v>0.12</v>
      </c>
      <c r="E150">
        <f t="shared" si="4"/>
        <v>-7055</v>
      </c>
      <c r="H150" t="str">
        <f t="shared" si="5"/>
        <v>Low Rev – Low Profit</v>
      </c>
    </row>
    <row r="151" spans="1:8" x14ac:dyDescent="0.3">
      <c r="A151" t="str">
        <f>Clean_Data!A150</f>
        <v>C149</v>
      </c>
      <c r="B151">
        <f>Clean_Data!B150</f>
        <v>31997</v>
      </c>
      <c r="C151">
        <f>Clean_Data!I150</f>
        <v>16549</v>
      </c>
      <c r="D151">
        <f>Clean_Data!H150</f>
        <v>0.01</v>
      </c>
      <c r="E151">
        <f t="shared" si="4"/>
        <v>15448</v>
      </c>
      <c r="H151" t="str">
        <f t="shared" si="5"/>
        <v>Low Rev – Low Profit</v>
      </c>
    </row>
    <row r="152" spans="1:8" x14ac:dyDescent="0.3">
      <c r="A152" t="str">
        <f>Clean_Data!A151</f>
        <v>C150</v>
      </c>
      <c r="B152">
        <f>Clean_Data!B151</f>
        <v>11902</v>
      </c>
      <c r="C152">
        <f>Clean_Data!I151</f>
        <v>12219</v>
      </c>
      <c r="D152">
        <f>Clean_Data!H151</f>
        <v>0.08</v>
      </c>
      <c r="E152">
        <f t="shared" si="4"/>
        <v>-317</v>
      </c>
      <c r="H152" t="str">
        <f t="shared" si="5"/>
        <v>Low Rev – Low Profit</v>
      </c>
    </row>
    <row r="153" spans="1:8" x14ac:dyDescent="0.3">
      <c r="A153" t="str">
        <f>Clean_Data!A152</f>
        <v>C151</v>
      </c>
      <c r="B153">
        <f>Clean_Data!B152</f>
        <v>19513</v>
      </c>
      <c r="C153">
        <f>Clean_Data!I152</f>
        <v>23014</v>
      </c>
      <c r="D153">
        <f>Clean_Data!H152</f>
        <v>0.08</v>
      </c>
      <c r="E153">
        <f t="shared" si="4"/>
        <v>-3501</v>
      </c>
      <c r="H153" t="str">
        <f t="shared" si="5"/>
        <v>Low Rev – Low Profit</v>
      </c>
    </row>
    <row r="154" spans="1:8" x14ac:dyDescent="0.3">
      <c r="A154" t="str">
        <f>Clean_Data!A153</f>
        <v>C152</v>
      </c>
      <c r="B154">
        <f>Clean_Data!B153</f>
        <v>46664</v>
      </c>
      <c r="C154">
        <f>Clean_Data!I153</f>
        <v>23398</v>
      </c>
      <c r="D154">
        <f>Clean_Data!H153</f>
        <v>0.04</v>
      </c>
      <c r="E154">
        <f t="shared" si="4"/>
        <v>23266</v>
      </c>
      <c r="H154" t="str">
        <f t="shared" si="5"/>
        <v>High Rev – High Profit</v>
      </c>
    </row>
    <row r="155" spans="1:8" x14ac:dyDescent="0.3">
      <c r="A155" t="str">
        <f>Clean_Data!A154</f>
        <v>C153</v>
      </c>
      <c r="B155">
        <f>Clean_Data!B154</f>
        <v>44844</v>
      </c>
      <c r="C155">
        <f>Clean_Data!I154</f>
        <v>11958</v>
      </c>
      <c r="D155">
        <f>Clean_Data!H154</f>
        <v>0.02</v>
      </c>
      <c r="E155">
        <f t="shared" si="4"/>
        <v>32886</v>
      </c>
      <c r="H155" t="str">
        <f t="shared" si="5"/>
        <v>High Rev – High Profit</v>
      </c>
    </row>
    <row r="156" spans="1:8" x14ac:dyDescent="0.3">
      <c r="A156" t="str">
        <f>Clean_Data!A155</f>
        <v>C154</v>
      </c>
      <c r="B156">
        <f>Clean_Data!B155</f>
        <v>23330</v>
      </c>
      <c r="C156">
        <f>Clean_Data!I155</f>
        <v>20975</v>
      </c>
      <c r="D156">
        <f>Clean_Data!H155</f>
        <v>0.13</v>
      </c>
      <c r="E156">
        <f t="shared" si="4"/>
        <v>2355</v>
      </c>
      <c r="H156" t="str">
        <f t="shared" si="5"/>
        <v>Low Rev – Low Profit</v>
      </c>
    </row>
    <row r="157" spans="1:8" x14ac:dyDescent="0.3">
      <c r="A157" t="str">
        <f>Clean_Data!A156</f>
        <v>C155</v>
      </c>
      <c r="B157">
        <f>Clean_Data!B156</f>
        <v>36031</v>
      </c>
      <c r="C157">
        <f>Clean_Data!I156</f>
        <v>13078</v>
      </c>
      <c r="D157">
        <f>Clean_Data!H156</f>
        <v>0.06</v>
      </c>
      <c r="E157">
        <f t="shared" si="4"/>
        <v>22953</v>
      </c>
      <c r="H157" t="str">
        <f t="shared" si="5"/>
        <v>Low Rev – High Profit</v>
      </c>
    </row>
    <row r="158" spans="1:8" x14ac:dyDescent="0.3">
      <c r="A158" t="str">
        <f>Clean_Data!A157</f>
        <v>C156</v>
      </c>
      <c r="B158">
        <f>Clean_Data!B157</f>
        <v>3795</v>
      </c>
      <c r="C158">
        <f>Clean_Data!I157</f>
        <v>12191</v>
      </c>
      <c r="D158">
        <f>Clean_Data!H157</f>
        <v>0.08</v>
      </c>
      <c r="E158">
        <f t="shared" si="4"/>
        <v>-8396</v>
      </c>
      <c r="H158" t="str">
        <f t="shared" si="5"/>
        <v>Low Rev – Low Profit</v>
      </c>
    </row>
    <row r="159" spans="1:8" x14ac:dyDescent="0.3">
      <c r="A159" t="str">
        <f>Clean_Data!A158</f>
        <v>C157</v>
      </c>
      <c r="B159">
        <f>Clean_Data!B158</f>
        <v>38798</v>
      </c>
      <c r="C159">
        <f>Clean_Data!I158</f>
        <v>14484</v>
      </c>
      <c r="D159">
        <f>Clean_Data!H158</f>
        <v>0.02</v>
      </c>
      <c r="E159">
        <f t="shared" si="4"/>
        <v>24314</v>
      </c>
      <c r="H159" t="str">
        <f t="shared" si="5"/>
        <v>Low Rev – High Profit</v>
      </c>
    </row>
    <row r="160" spans="1:8" x14ac:dyDescent="0.3">
      <c r="A160" t="str">
        <f>Clean_Data!A159</f>
        <v>C158</v>
      </c>
      <c r="B160">
        <f>Clean_Data!B159</f>
        <v>14233</v>
      </c>
      <c r="C160">
        <f>Clean_Data!I159</f>
        <v>5765</v>
      </c>
      <c r="D160">
        <f>Clean_Data!H159</f>
        <v>0.2</v>
      </c>
      <c r="E160">
        <f t="shared" si="4"/>
        <v>8468</v>
      </c>
      <c r="H160" t="str">
        <f t="shared" si="5"/>
        <v>Low Rev – Low Profit</v>
      </c>
    </row>
    <row r="161" spans="1:8" x14ac:dyDescent="0.3">
      <c r="A161" t="str">
        <f>Clean_Data!A160</f>
        <v>C159</v>
      </c>
      <c r="B161">
        <f>Clean_Data!B160</f>
        <v>15136</v>
      </c>
      <c r="C161">
        <f>Clean_Data!I160</f>
        <v>8677</v>
      </c>
      <c r="D161">
        <f>Clean_Data!H160</f>
        <v>0.03</v>
      </c>
      <c r="E161">
        <f t="shared" si="4"/>
        <v>6459</v>
      </c>
      <c r="H161" t="str">
        <f t="shared" si="5"/>
        <v>Low Rev – Low Profit</v>
      </c>
    </row>
    <row r="162" spans="1:8" x14ac:dyDescent="0.3">
      <c r="A162" t="str">
        <f>Clean_Data!A161</f>
        <v>C160</v>
      </c>
      <c r="B162">
        <f>Clean_Data!B161</f>
        <v>26428</v>
      </c>
      <c r="C162">
        <f>Clean_Data!I161</f>
        <v>16159</v>
      </c>
      <c r="D162">
        <f>Clean_Data!H161</f>
        <v>0.03</v>
      </c>
      <c r="E162">
        <f t="shared" si="4"/>
        <v>10269</v>
      </c>
      <c r="H162" t="str">
        <f t="shared" si="5"/>
        <v>Low Rev – Low Profit</v>
      </c>
    </row>
    <row r="163" spans="1:8" x14ac:dyDescent="0.3">
      <c r="A163" t="str">
        <f>Clean_Data!A162</f>
        <v>C161</v>
      </c>
      <c r="B163">
        <f>Clean_Data!B162</f>
        <v>6919</v>
      </c>
      <c r="C163">
        <f>Clean_Data!I162</f>
        <v>5184</v>
      </c>
      <c r="D163">
        <f>Clean_Data!H162</f>
        <v>0.3</v>
      </c>
      <c r="E163">
        <f t="shared" si="4"/>
        <v>1735</v>
      </c>
      <c r="H163" t="str">
        <f t="shared" si="5"/>
        <v>Low Rev – Low Profit</v>
      </c>
    </row>
    <row r="164" spans="1:8" x14ac:dyDescent="0.3">
      <c r="A164" t="str">
        <f>Clean_Data!A163</f>
        <v>C162</v>
      </c>
      <c r="B164">
        <f>Clean_Data!B163</f>
        <v>44118</v>
      </c>
      <c r="C164">
        <f>Clean_Data!I163</f>
        <v>19773</v>
      </c>
      <c r="D164">
        <f>Clean_Data!H163</f>
        <v>0.22</v>
      </c>
      <c r="E164">
        <f t="shared" si="4"/>
        <v>24345</v>
      </c>
      <c r="H164" t="str">
        <f t="shared" si="5"/>
        <v>High Rev – High Profit</v>
      </c>
    </row>
    <row r="165" spans="1:8" x14ac:dyDescent="0.3">
      <c r="A165" t="str">
        <f>Clean_Data!A164</f>
        <v>C163</v>
      </c>
      <c r="B165">
        <f>Clean_Data!B164</f>
        <v>4608</v>
      </c>
      <c r="C165">
        <f>Clean_Data!I164</f>
        <v>1442</v>
      </c>
      <c r="D165">
        <f>Clean_Data!H164</f>
        <v>0.1</v>
      </c>
      <c r="E165">
        <f t="shared" si="4"/>
        <v>3166</v>
      </c>
      <c r="H165" t="str">
        <f t="shared" si="5"/>
        <v>Low Rev – Low Profit</v>
      </c>
    </row>
    <row r="166" spans="1:8" x14ac:dyDescent="0.3">
      <c r="A166" t="str">
        <f>Clean_Data!A165</f>
        <v>C164</v>
      </c>
      <c r="B166">
        <f>Clean_Data!B165</f>
        <v>28090</v>
      </c>
      <c r="C166">
        <f>Clean_Data!I165</f>
        <v>19632</v>
      </c>
      <c r="D166">
        <f>Clean_Data!H165</f>
        <v>0.02</v>
      </c>
      <c r="E166">
        <f t="shared" si="4"/>
        <v>8458</v>
      </c>
      <c r="H166" t="str">
        <f t="shared" si="5"/>
        <v>Low Rev – Low Profit</v>
      </c>
    </row>
    <row r="167" spans="1:8" x14ac:dyDescent="0.3">
      <c r="A167" t="str">
        <f>Clean_Data!A166</f>
        <v>C165</v>
      </c>
      <c r="B167">
        <f>Clean_Data!B166</f>
        <v>48127</v>
      </c>
      <c r="C167">
        <f>Clean_Data!I166</f>
        <v>16549</v>
      </c>
      <c r="D167">
        <f>Clean_Data!H166</f>
        <v>7.0000000000000007E-2</v>
      </c>
      <c r="E167">
        <f t="shared" si="4"/>
        <v>31578</v>
      </c>
      <c r="H167" t="str">
        <f t="shared" si="5"/>
        <v>High Rev – High Profit</v>
      </c>
    </row>
    <row r="168" spans="1:8" x14ac:dyDescent="0.3">
      <c r="A168" t="str">
        <f>Clean_Data!A167</f>
        <v>C166</v>
      </c>
      <c r="B168">
        <f>Clean_Data!B167</f>
        <v>13213</v>
      </c>
      <c r="C168">
        <f>Clean_Data!I167</f>
        <v>3575</v>
      </c>
      <c r="D168">
        <f>Clean_Data!H167</f>
        <v>0.13</v>
      </c>
      <c r="E168">
        <f t="shared" si="4"/>
        <v>9638</v>
      </c>
      <c r="H168" t="str">
        <f t="shared" si="5"/>
        <v>Low Rev – Low Profit</v>
      </c>
    </row>
    <row r="169" spans="1:8" x14ac:dyDescent="0.3">
      <c r="A169" t="str">
        <f>Clean_Data!A168</f>
        <v>C167</v>
      </c>
      <c r="B169">
        <f>Clean_Data!B168</f>
        <v>6429</v>
      </c>
      <c r="C169">
        <f>Clean_Data!I168</f>
        <v>4480</v>
      </c>
      <c r="D169">
        <f>Clean_Data!H168</f>
        <v>0.3</v>
      </c>
      <c r="E169">
        <f t="shared" si="4"/>
        <v>1949</v>
      </c>
      <c r="H169" t="str">
        <f t="shared" si="5"/>
        <v>Low Rev – Low Profit</v>
      </c>
    </row>
    <row r="170" spans="1:8" x14ac:dyDescent="0.3">
      <c r="A170" t="str">
        <f>Clean_Data!A169</f>
        <v>C168</v>
      </c>
      <c r="B170">
        <f>Clean_Data!B169</f>
        <v>3349</v>
      </c>
      <c r="C170">
        <f>Clean_Data!I169</f>
        <v>3716</v>
      </c>
      <c r="D170">
        <f>Clean_Data!H169</f>
        <v>0.18</v>
      </c>
      <c r="E170">
        <f t="shared" si="4"/>
        <v>-367</v>
      </c>
      <c r="H170" t="str">
        <f t="shared" si="5"/>
        <v>Low Rev – Low Profit</v>
      </c>
    </row>
    <row r="171" spans="1:8" x14ac:dyDescent="0.3">
      <c r="A171" t="str">
        <f>Clean_Data!A170</f>
        <v>C169</v>
      </c>
      <c r="B171">
        <f>Clean_Data!B170</f>
        <v>27307</v>
      </c>
      <c r="C171">
        <f>Clean_Data!I170</f>
        <v>22998</v>
      </c>
      <c r="D171">
        <f>Clean_Data!H170</f>
        <v>7.0000000000000007E-2</v>
      </c>
      <c r="E171">
        <f t="shared" si="4"/>
        <v>4309</v>
      </c>
      <c r="H171" t="str">
        <f t="shared" si="5"/>
        <v>Low Rev – Low Profit</v>
      </c>
    </row>
    <row r="172" spans="1:8" x14ac:dyDescent="0.3">
      <c r="A172" t="str">
        <f>Clean_Data!A171</f>
        <v>C170</v>
      </c>
      <c r="B172">
        <f>Clean_Data!B171</f>
        <v>47919</v>
      </c>
      <c r="C172">
        <f>Clean_Data!I171</f>
        <v>27032</v>
      </c>
      <c r="D172">
        <f>Clean_Data!H171</f>
        <v>0.09</v>
      </c>
      <c r="E172">
        <f t="shared" si="4"/>
        <v>20887</v>
      </c>
      <c r="H172" t="str">
        <f t="shared" si="5"/>
        <v>High Rev – Low Profit</v>
      </c>
    </row>
    <row r="173" spans="1:8" x14ac:dyDescent="0.3">
      <c r="A173" t="str">
        <f>Clean_Data!A172</f>
        <v>C171</v>
      </c>
      <c r="B173">
        <f>Clean_Data!B172</f>
        <v>44983</v>
      </c>
      <c r="C173">
        <f>Clean_Data!I172</f>
        <v>10855</v>
      </c>
      <c r="D173">
        <f>Clean_Data!H172</f>
        <v>7.0000000000000007E-2</v>
      </c>
      <c r="E173">
        <f t="shared" si="4"/>
        <v>34128</v>
      </c>
      <c r="H173" t="str">
        <f t="shared" si="5"/>
        <v>High Rev – High Profit</v>
      </c>
    </row>
    <row r="174" spans="1:8" x14ac:dyDescent="0.3">
      <c r="A174" t="str">
        <f>Clean_Data!A173</f>
        <v>C172</v>
      </c>
      <c r="B174">
        <f>Clean_Data!B173</f>
        <v>21287</v>
      </c>
      <c r="C174">
        <f>Clean_Data!I173</f>
        <v>17452</v>
      </c>
      <c r="D174">
        <f>Clean_Data!H173</f>
        <v>0.01</v>
      </c>
      <c r="E174">
        <f t="shared" si="4"/>
        <v>3835</v>
      </c>
      <c r="H174" t="str">
        <f t="shared" si="5"/>
        <v>Low Rev – Low Profit</v>
      </c>
    </row>
    <row r="175" spans="1:8" x14ac:dyDescent="0.3">
      <c r="A175" t="str">
        <f>Clean_Data!A174</f>
        <v>C173</v>
      </c>
      <c r="B175">
        <f>Clean_Data!B174</f>
        <v>22288</v>
      </c>
      <c r="C175">
        <f>Clean_Data!I174</f>
        <v>11440</v>
      </c>
      <c r="D175">
        <f>Clean_Data!H174</f>
        <v>0.1</v>
      </c>
      <c r="E175">
        <f t="shared" si="4"/>
        <v>10848</v>
      </c>
      <c r="H175" t="str">
        <f t="shared" si="5"/>
        <v>Low Rev – Low Profit</v>
      </c>
    </row>
    <row r="176" spans="1:8" x14ac:dyDescent="0.3">
      <c r="A176" t="str">
        <f>Clean_Data!A175</f>
        <v>C174</v>
      </c>
      <c r="B176">
        <f>Clean_Data!B175</f>
        <v>39126</v>
      </c>
      <c r="C176">
        <f>Clean_Data!I175</f>
        <v>9709</v>
      </c>
      <c r="D176">
        <f>Clean_Data!H175</f>
        <v>0.11</v>
      </c>
      <c r="E176">
        <f t="shared" si="4"/>
        <v>29417</v>
      </c>
      <c r="H176" t="str">
        <f t="shared" si="5"/>
        <v>Low Rev – High Profit</v>
      </c>
    </row>
    <row r="177" spans="1:8" x14ac:dyDescent="0.3">
      <c r="A177" t="str">
        <f>Clean_Data!A176</f>
        <v>C175</v>
      </c>
      <c r="B177">
        <f>Clean_Data!B176</f>
        <v>46757</v>
      </c>
      <c r="C177">
        <f>Clean_Data!I176</f>
        <v>17149</v>
      </c>
      <c r="D177">
        <f>Clean_Data!H176</f>
        <v>0.18</v>
      </c>
      <c r="E177">
        <f t="shared" si="4"/>
        <v>29608</v>
      </c>
      <c r="H177" t="str">
        <f t="shared" si="5"/>
        <v>High Rev – High Profit</v>
      </c>
    </row>
    <row r="178" spans="1:8" x14ac:dyDescent="0.3">
      <c r="A178" t="str">
        <f>Clean_Data!A177</f>
        <v>C176</v>
      </c>
      <c r="B178">
        <f>Clean_Data!B177</f>
        <v>30720</v>
      </c>
      <c r="C178">
        <f>Clean_Data!I177</f>
        <v>16445</v>
      </c>
      <c r="D178">
        <f>Clean_Data!H177</f>
        <v>0.28000000000000003</v>
      </c>
      <c r="E178">
        <f t="shared" si="4"/>
        <v>14275</v>
      </c>
      <c r="H178" t="str">
        <f t="shared" si="5"/>
        <v>Low Rev – Low Profit</v>
      </c>
    </row>
    <row r="179" spans="1:8" x14ac:dyDescent="0.3">
      <c r="A179" t="str">
        <f>Clean_Data!A178</f>
        <v>C177</v>
      </c>
      <c r="B179">
        <f>Clean_Data!B178</f>
        <v>28495</v>
      </c>
      <c r="C179">
        <f>Clean_Data!I178</f>
        <v>21861</v>
      </c>
      <c r="D179">
        <f>Clean_Data!H178</f>
        <v>0.24</v>
      </c>
      <c r="E179">
        <f t="shared" si="4"/>
        <v>6634</v>
      </c>
      <c r="H179" t="str">
        <f t="shared" si="5"/>
        <v>Low Rev – Low Profit</v>
      </c>
    </row>
    <row r="180" spans="1:8" x14ac:dyDescent="0.3">
      <c r="A180" t="str">
        <f>Clean_Data!A179</f>
        <v>C178</v>
      </c>
      <c r="B180">
        <f>Clean_Data!B179</f>
        <v>45461</v>
      </c>
      <c r="C180">
        <f>Clean_Data!I179</f>
        <v>11847</v>
      </c>
      <c r="D180">
        <f>Clean_Data!H179</f>
        <v>0.11</v>
      </c>
      <c r="E180">
        <f t="shared" si="4"/>
        <v>33614</v>
      </c>
      <c r="H180" t="str">
        <f t="shared" si="5"/>
        <v>High Rev – High Profit</v>
      </c>
    </row>
    <row r="181" spans="1:8" x14ac:dyDescent="0.3">
      <c r="A181" t="str">
        <f>Clean_Data!A180</f>
        <v>C179</v>
      </c>
      <c r="B181">
        <f>Clean_Data!B180</f>
        <v>9398</v>
      </c>
      <c r="C181">
        <f>Clean_Data!I180</f>
        <v>28590</v>
      </c>
      <c r="D181">
        <f>Clean_Data!H180</f>
        <v>0.11</v>
      </c>
      <c r="E181">
        <f t="shared" si="4"/>
        <v>-19192</v>
      </c>
      <c r="H181" t="str">
        <f t="shared" si="5"/>
        <v>Low Rev – Low Profit</v>
      </c>
    </row>
    <row r="182" spans="1:8" x14ac:dyDescent="0.3">
      <c r="A182" t="str">
        <f>Clean_Data!A181</f>
        <v>C180</v>
      </c>
      <c r="B182">
        <f>Clean_Data!B181</f>
        <v>29494</v>
      </c>
      <c r="C182">
        <f>Clean_Data!I181</f>
        <v>27789</v>
      </c>
      <c r="D182">
        <f>Clean_Data!H181</f>
        <v>0.1</v>
      </c>
      <c r="E182">
        <f t="shared" si="4"/>
        <v>1705</v>
      </c>
      <c r="H182" t="str">
        <f t="shared" si="5"/>
        <v>Low Rev – Low Profit</v>
      </c>
    </row>
    <row r="183" spans="1:8" x14ac:dyDescent="0.3">
      <c r="A183" t="str">
        <f>Clean_Data!A182</f>
        <v>C181</v>
      </c>
      <c r="B183">
        <f>Clean_Data!B182</f>
        <v>36659</v>
      </c>
      <c r="C183">
        <f>Clean_Data!I182</f>
        <v>25284</v>
      </c>
      <c r="D183">
        <f>Clean_Data!H182</f>
        <v>0.24</v>
      </c>
      <c r="E183">
        <f t="shared" si="4"/>
        <v>11375</v>
      </c>
      <c r="H183" t="str">
        <f t="shared" si="5"/>
        <v>Low Rev – Low Profit</v>
      </c>
    </row>
    <row r="184" spans="1:8" x14ac:dyDescent="0.3">
      <c r="A184" t="str">
        <f>Clean_Data!A183</f>
        <v>C182</v>
      </c>
      <c r="B184">
        <f>Clean_Data!B183</f>
        <v>12477</v>
      </c>
      <c r="C184">
        <f>Clean_Data!I183</f>
        <v>11630</v>
      </c>
      <c r="D184">
        <f>Clean_Data!H183</f>
        <v>0.11</v>
      </c>
      <c r="E184">
        <f t="shared" si="4"/>
        <v>847</v>
      </c>
      <c r="H184" t="str">
        <f t="shared" si="5"/>
        <v>Low Rev – Low Profit</v>
      </c>
    </row>
    <row r="185" spans="1:8" x14ac:dyDescent="0.3">
      <c r="A185" t="str">
        <f>Clean_Data!A184</f>
        <v>C183</v>
      </c>
      <c r="B185">
        <f>Clean_Data!B184</f>
        <v>24867</v>
      </c>
      <c r="C185">
        <f>Clean_Data!I184</f>
        <v>3755</v>
      </c>
      <c r="D185">
        <f>Clean_Data!H184</f>
        <v>0.06</v>
      </c>
      <c r="E185">
        <f t="shared" si="4"/>
        <v>21112</v>
      </c>
      <c r="H185" t="str">
        <f t="shared" si="5"/>
        <v>Low Rev – Low Profit</v>
      </c>
    </row>
    <row r="186" spans="1:8" x14ac:dyDescent="0.3">
      <c r="A186" t="str">
        <f>Clean_Data!A185</f>
        <v>C184</v>
      </c>
      <c r="B186">
        <f>Clean_Data!B185</f>
        <v>5928</v>
      </c>
      <c r="C186">
        <f>Clean_Data!I185</f>
        <v>14362</v>
      </c>
      <c r="D186">
        <f>Clean_Data!H185</f>
        <v>0.3</v>
      </c>
      <c r="E186">
        <f t="shared" si="4"/>
        <v>-8434</v>
      </c>
      <c r="H186" t="str">
        <f t="shared" si="5"/>
        <v>Low Rev – Low Profit</v>
      </c>
    </row>
    <row r="187" spans="1:8" x14ac:dyDescent="0.3">
      <c r="A187" t="str">
        <f>Clean_Data!A186</f>
        <v>C185</v>
      </c>
      <c r="B187">
        <f>Clean_Data!B186</f>
        <v>29946</v>
      </c>
      <c r="C187">
        <f>Clean_Data!I186</f>
        <v>22636</v>
      </c>
      <c r="D187">
        <f>Clean_Data!H186</f>
        <v>0.13</v>
      </c>
      <c r="E187">
        <f t="shared" si="4"/>
        <v>7310</v>
      </c>
      <c r="H187" t="str">
        <f t="shared" si="5"/>
        <v>Low Rev – Low Profit</v>
      </c>
    </row>
    <row r="188" spans="1:8" x14ac:dyDescent="0.3">
      <c r="A188" t="str">
        <f>Clean_Data!A187</f>
        <v>C186</v>
      </c>
      <c r="B188">
        <f>Clean_Data!B187</f>
        <v>43525</v>
      </c>
      <c r="C188">
        <f>Clean_Data!I187</f>
        <v>17035</v>
      </c>
      <c r="D188">
        <f>Clean_Data!H187</f>
        <v>0.21</v>
      </c>
      <c r="E188">
        <f t="shared" si="4"/>
        <v>26490</v>
      </c>
      <c r="H188" t="str">
        <f t="shared" si="5"/>
        <v>High Rev – High Profit</v>
      </c>
    </row>
    <row r="189" spans="1:8" x14ac:dyDescent="0.3">
      <c r="A189" t="str">
        <f>Clean_Data!A188</f>
        <v>C187</v>
      </c>
      <c r="B189">
        <f>Clean_Data!B188</f>
        <v>10799</v>
      </c>
      <c r="C189">
        <f>Clean_Data!I188</f>
        <v>4052</v>
      </c>
      <c r="D189">
        <f>Clean_Data!H188</f>
        <v>0.04</v>
      </c>
      <c r="E189">
        <f t="shared" si="4"/>
        <v>6747</v>
      </c>
      <c r="H189" t="str">
        <f t="shared" si="5"/>
        <v>Low Rev – Low Profit</v>
      </c>
    </row>
    <row r="190" spans="1:8" x14ac:dyDescent="0.3">
      <c r="A190" t="str">
        <f>Clean_Data!A189</f>
        <v>C188</v>
      </c>
      <c r="B190">
        <f>Clean_Data!B189</f>
        <v>1914</v>
      </c>
      <c r="C190">
        <f>Clean_Data!I189</f>
        <v>29848</v>
      </c>
      <c r="D190">
        <f>Clean_Data!H189</f>
        <v>0.25</v>
      </c>
      <c r="E190">
        <f t="shared" si="4"/>
        <v>-27934</v>
      </c>
      <c r="H190" t="str">
        <f t="shared" si="5"/>
        <v>Low Rev – Low Profit</v>
      </c>
    </row>
    <row r="191" spans="1:8" x14ac:dyDescent="0.3">
      <c r="A191" t="str">
        <f>Clean_Data!A190</f>
        <v>C189</v>
      </c>
      <c r="B191">
        <f>Clean_Data!B190</f>
        <v>43344</v>
      </c>
      <c r="C191">
        <f>Clean_Data!I190</f>
        <v>19782</v>
      </c>
      <c r="D191">
        <f>Clean_Data!H190</f>
        <v>0.28999999999999998</v>
      </c>
      <c r="E191">
        <f t="shared" si="4"/>
        <v>23562</v>
      </c>
      <c r="H191" t="str">
        <f t="shared" si="5"/>
        <v>High Rev – High Profit</v>
      </c>
    </row>
    <row r="192" spans="1:8" x14ac:dyDescent="0.3">
      <c r="A192" t="str">
        <f>Clean_Data!A191</f>
        <v>C190</v>
      </c>
      <c r="B192">
        <f>Clean_Data!B191</f>
        <v>27307</v>
      </c>
      <c r="C192">
        <f>Clean_Data!I191</f>
        <v>25758</v>
      </c>
      <c r="D192">
        <f>Clean_Data!H191</f>
        <v>0.17</v>
      </c>
      <c r="E192">
        <f t="shared" si="4"/>
        <v>1549</v>
      </c>
      <c r="H192" t="str">
        <f t="shared" si="5"/>
        <v>Low Rev – Low Profit</v>
      </c>
    </row>
    <row r="193" spans="1:8" x14ac:dyDescent="0.3">
      <c r="A193" t="str">
        <f>Clean_Data!A192</f>
        <v>C191</v>
      </c>
      <c r="B193">
        <f>Clean_Data!B192</f>
        <v>47545</v>
      </c>
      <c r="C193">
        <f>Clean_Data!I192</f>
        <v>22756</v>
      </c>
      <c r="D193">
        <f>Clean_Data!H192</f>
        <v>0.24</v>
      </c>
      <c r="E193">
        <f t="shared" si="4"/>
        <v>24789</v>
      </c>
      <c r="H193" t="str">
        <f t="shared" si="5"/>
        <v>High Rev – High Profit</v>
      </c>
    </row>
    <row r="194" spans="1:8" x14ac:dyDescent="0.3">
      <c r="A194" t="str">
        <f>Clean_Data!A193</f>
        <v>C192</v>
      </c>
      <c r="B194">
        <f>Clean_Data!B193</f>
        <v>36921</v>
      </c>
      <c r="C194">
        <f>Clean_Data!I193</f>
        <v>6281</v>
      </c>
      <c r="D194">
        <f>Clean_Data!H193</f>
        <v>0.16</v>
      </c>
      <c r="E194">
        <f t="shared" si="4"/>
        <v>30640</v>
      </c>
      <c r="H194" t="str">
        <f t="shared" si="5"/>
        <v>Low Rev – High Profit</v>
      </c>
    </row>
    <row r="195" spans="1:8" x14ac:dyDescent="0.3">
      <c r="A195" t="str">
        <f>Clean_Data!A194</f>
        <v>C193</v>
      </c>
      <c r="B195">
        <f>Clean_Data!B194</f>
        <v>30495</v>
      </c>
      <c r="C195">
        <f>Clean_Data!I194</f>
        <v>23501</v>
      </c>
      <c r="D195">
        <f>Clean_Data!H194</f>
        <v>0.18</v>
      </c>
      <c r="E195">
        <f t="shared" si="4"/>
        <v>6994</v>
      </c>
      <c r="H195" t="str">
        <f t="shared" si="5"/>
        <v>Low Rev – Low Profit</v>
      </c>
    </row>
    <row r="196" spans="1:8" x14ac:dyDescent="0.3">
      <c r="A196" t="str">
        <f>Clean_Data!A195</f>
        <v>C194</v>
      </c>
      <c r="B196">
        <f>Clean_Data!B195</f>
        <v>26162</v>
      </c>
      <c r="C196">
        <f>Clean_Data!I195</f>
        <v>16549</v>
      </c>
      <c r="D196">
        <f>Clean_Data!H195</f>
        <v>0.25</v>
      </c>
      <c r="E196">
        <f t="shared" ref="E196:E202" si="6">B196-C196</f>
        <v>9613</v>
      </c>
      <c r="H196" t="str">
        <f t="shared" ref="H196:H202" si="7">IF(AND(B196&gt;=$F$3, E196&gt;=$G$3),
"High Rev – High Profit",
IF(AND(B196&gt;=$F$3, E196&lt;$G$3),
"High Rev – Low Profit",
IF(AND(B196&lt;$F$3, E196&gt;=$G$3),
"Low Rev – High Profit",
"Low Rev – Low Profit")))</f>
        <v>Low Rev – Low Profit</v>
      </c>
    </row>
    <row r="197" spans="1:8" x14ac:dyDescent="0.3">
      <c r="A197" t="str">
        <f>Clean_Data!A196</f>
        <v>C195</v>
      </c>
      <c r="B197">
        <f>Clean_Data!B196</f>
        <v>13610</v>
      </c>
      <c r="C197">
        <f>Clean_Data!I196</f>
        <v>22390</v>
      </c>
      <c r="D197">
        <f>Clean_Data!H196</f>
        <v>0.23</v>
      </c>
      <c r="E197">
        <f t="shared" si="6"/>
        <v>-8780</v>
      </c>
      <c r="H197" t="str">
        <f t="shared" si="7"/>
        <v>Low Rev – Low Profit</v>
      </c>
    </row>
    <row r="198" spans="1:8" x14ac:dyDescent="0.3">
      <c r="A198" t="str">
        <f>Clean_Data!A197</f>
        <v>C196</v>
      </c>
      <c r="B198">
        <f>Clean_Data!B197</f>
        <v>23972</v>
      </c>
      <c r="C198">
        <f>Clean_Data!I197</f>
        <v>26902</v>
      </c>
      <c r="D198">
        <f>Clean_Data!H197</f>
        <v>0.04</v>
      </c>
      <c r="E198">
        <f t="shared" si="6"/>
        <v>-2930</v>
      </c>
      <c r="H198" t="str">
        <f t="shared" si="7"/>
        <v>Low Rev – Low Profit</v>
      </c>
    </row>
    <row r="199" spans="1:8" x14ac:dyDescent="0.3">
      <c r="A199" t="str">
        <f>Clean_Data!A198</f>
        <v>C197</v>
      </c>
      <c r="B199">
        <f>Clean_Data!B198</f>
        <v>26196</v>
      </c>
      <c r="C199">
        <f>Clean_Data!I198</f>
        <v>29768</v>
      </c>
      <c r="D199">
        <f>Clean_Data!H198</f>
        <v>0.05</v>
      </c>
      <c r="E199">
        <f t="shared" si="6"/>
        <v>-3572</v>
      </c>
      <c r="H199" t="str">
        <f t="shared" si="7"/>
        <v>Low Rev – Low Profit</v>
      </c>
    </row>
    <row r="200" spans="1:8" x14ac:dyDescent="0.3">
      <c r="A200" t="str">
        <f>Clean_Data!A199</f>
        <v>C198</v>
      </c>
      <c r="B200">
        <f>Clean_Data!B199</f>
        <v>16843</v>
      </c>
      <c r="C200">
        <f>Clean_Data!I199</f>
        <v>543</v>
      </c>
      <c r="D200">
        <f>Clean_Data!H199</f>
        <v>0.13</v>
      </c>
      <c r="E200">
        <f t="shared" si="6"/>
        <v>16300</v>
      </c>
      <c r="H200" t="str">
        <f t="shared" si="7"/>
        <v>Low Rev – Low Profit</v>
      </c>
    </row>
    <row r="201" spans="1:8" x14ac:dyDescent="0.3">
      <c r="A201" t="str">
        <f>Clean_Data!A200</f>
        <v>C199</v>
      </c>
      <c r="B201">
        <f>Clean_Data!B200</f>
        <v>30398</v>
      </c>
      <c r="C201">
        <f>Clean_Data!I200</f>
        <v>28694</v>
      </c>
      <c r="D201">
        <f>Clean_Data!H200</f>
        <v>0.05</v>
      </c>
      <c r="E201">
        <f t="shared" si="6"/>
        <v>1704</v>
      </c>
      <c r="H201" t="str">
        <f t="shared" si="7"/>
        <v>Low Rev – Low Profit</v>
      </c>
    </row>
    <row r="202" spans="1:8" x14ac:dyDescent="0.3">
      <c r="A202" t="str">
        <f>Clean_Data!A201</f>
        <v>C200</v>
      </c>
      <c r="B202">
        <f>Clean_Data!B201</f>
        <v>29872</v>
      </c>
      <c r="C202">
        <f>Clean_Data!I201</f>
        <v>16653</v>
      </c>
      <c r="D202">
        <f>Clean_Data!H201</f>
        <v>0.02</v>
      </c>
      <c r="E202">
        <f t="shared" si="6"/>
        <v>13219</v>
      </c>
      <c r="H202" t="str">
        <f t="shared" si="7"/>
        <v>Low Rev – Low Profit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974E-8FE3-41D4-95D9-9C1415C62BB7}">
  <dimension ref="A3:B8"/>
  <sheetViews>
    <sheetView workbookViewId="0">
      <selection activeCell="F11" sqref="F11"/>
    </sheetView>
  </sheetViews>
  <sheetFormatPr defaultRowHeight="14.4" x14ac:dyDescent="0.3"/>
  <cols>
    <col min="1" max="1" width="18.6640625" bestFit="1" customWidth="1"/>
    <col min="2" max="2" width="14.88671875" bestFit="1" customWidth="1"/>
  </cols>
  <sheetData>
    <row r="3" spans="1:2" x14ac:dyDescent="0.3">
      <c r="A3" s="2" t="s">
        <v>248</v>
      </c>
      <c r="B3" t="s">
        <v>252</v>
      </c>
    </row>
    <row r="4" spans="1:2" x14ac:dyDescent="0.3">
      <c r="A4" s="3" t="s">
        <v>247</v>
      </c>
      <c r="B4">
        <v>1583998</v>
      </c>
    </row>
    <row r="5" spans="1:2" x14ac:dyDescent="0.3">
      <c r="A5" s="3" t="s">
        <v>246</v>
      </c>
      <c r="B5">
        <v>662715</v>
      </c>
    </row>
    <row r="6" spans="1:2" x14ac:dyDescent="0.3">
      <c r="A6" s="3" t="s">
        <v>249</v>
      </c>
      <c r="B6">
        <v>540939</v>
      </c>
    </row>
    <row r="7" spans="1:2" x14ac:dyDescent="0.3">
      <c r="A7" s="3" t="s">
        <v>250</v>
      </c>
      <c r="B7">
        <v>2598679</v>
      </c>
    </row>
    <row r="8" spans="1:2" x14ac:dyDescent="0.3">
      <c r="A8" s="3" t="s">
        <v>251</v>
      </c>
      <c r="B8">
        <v>5386331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F250-7018-4A6E-937D-A75FFA9E41B1}">
  <dimension ref="A3:B8"/>
  <sheetViews>
    <sheetView topLeftCell="G1" workbookViewId="0">
      <selection activeCell="D19" sqref="D19"/>
    </sheetView>
  </sheetViews>
  <sheetFormatPr defaultRowHeight="14.4" x14ac:dyDescent="0.3"/>
  <cols>
    <col min="1" max="1" width="18.6640625" bestFit="1" customWidth="1"/>
    <col min="2" max="2" width="21.5546875" bestFit="1" customWidth="1"/>
  </cols>
  <sheetData>
    <row r="3" spans="1:2" x14ac:dyDescent="0.3">
      <c r="A3" s="2" t="s">
        <v>248</v>
      </c>
      <c r="B3" t="s">
        <v>253</v>
      </c>
    </row>
    <row r="4" spans="1:2" x14ac:dyDescent="0.3">
      <c r="A4" s="3" t="s">
        <v>247</v>
      </c>
      <c r="B4">
        <v>1078734</v>
      </c>
    </row>
    <row r="5" spans="1:2" x14ac:dyDescent="0.3">
      <c r="A5" s="3" t="s">
        <v>246</v>
      </c>
      <c r="B5">
        <v>281767</v>
      </c>
    </row>
    <row r="6" spans="1:2" x14ac:dyDescent="0.3">
      <c r="A6" s="3" t="s">
        <v>249</v>
      </c>
      <c r="B6">
        <v>403934</v>
      </c>
    </row>
    <row r="7" spans="1:2" x14ac:dyDescent="0.3">
      <c r="A7" s="3" t="s">
        <v>250</v>
      </c>
      <c r="B7">
        <v>332115</v>
      </c>
    </row>
    <row r="8" spans="1:2" x14ac:dyDescent="0.3">
      <c r="A8" s="3" t="s">
        <v>251</v>
      </c>
      <c r="B8">
        <v>2096550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7FF7-9C57-49C5-A020-DB8D163FF34D}">
  <dimension ref="A3:D8"/>
  <sheetViews>
    <sheetView topLeftCell="B1" workbookViewId="0">
      <selection activeCell="D22" sqref="D22"/>
    </sheetView>
  </sheetViews>
  <sheetFormatPr defaultRowHeight="14.4" x14ac:dyDescent="0.3"/>
  <cols>
    <col min="1" max="1" width="18.6640625" bestFit="1" customWidth="1"/>
    <col min="2" max="2" width="14.88671875" bestFit="1" customWidth="1"/>
    <col min="3" max="3" width="21.5546875" bestFit="1" customWidth="1"/>
    <col min="4" max="4" width="13.5546875" bestFit="1" customWidth="1"/>
  </cols>
  <sheetData>
    <row r="3" spans="1:4" x14ac:dyDescent="0.3">
      <c r="A3" s="2" t="s">
        <v>248</v>
      </c>
      <c r="B3" t="s">
        <v>252</v>
      </c>
      <c r="C3" t="s">
        <v>253</v>
      </c>
      <c r="D3" t="s">
        <v>254</v>
      </c>
    </row>
    <row r="4" spans="1:4" x14ac:dyDescent="0.3">
      <c r="A4" s="3" t="s">
        <v>247</v>
      </c>
      <c r="B4">
        <v>1583998</v>
      </c>
      <c r="C4">
        <v>1078734</v>
      </c>
      <c r="D4" s="4">
        <v>0.68101979926742329</v>
      </c>
    </row>
    <row r="5" spans="1:4" x14ac:dyDescent="0.3">
      <c r="A5" s="3" t="s">
        <v>246</v>
      </c>
      <c r="B5">
        <v>662715</v>
      </c>
      <c r="C5">
        <v>281767</v>
      </c>
      <c r="D5" s="4">
        <v>0.42517069932022061</v>
      </c>
    </row>
    <row r="6" spans="1:4" x14ac:dyDescent="0.3">
      <c r="A6" s="3" t="s">
        <v>249</v>
      </c>
      <c r="B6">
        <v>540939</v>
      </c>
      <c r="C6">
        <v>403934</v>
      </c>
      <c r="D6" s="4">
        <v>0.74672744986033546</v>
      </c>
    </row>
    <row r="7" spans="1:4" x14ac:dyDescent="0.3">
      <c r="A7" s="3" t="s">
        <v>250</v>
      </c>
      <c r="B7">
        <v>2598679</v>
      </c>
      <c r="C7">
        <v>332115</v>
      </c>
      <c r="D7" s="4">
        <v>0.12780147143991236</v>
      </c>
    </row>
    <row r="8" spans="1:4" x14ac:dyDescent="0.3">
      <c r="A8" s="3" t="s">
        <v>251</v>
      </c>
      <c r="B8">
        <v>5386331</v>
      </c>
      <c r="C8">
        <v>2096550</v>
      </c>
      <c r="D8" s="4">
        <v>0.3892352697968246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9A93-4A8B-4D24-929C-1E8CD41CF30F}">
  <dimension ref="A1:C5"/>
  <sheetViews>
    <sheetView workbookViewId="0">
      <selection activeCell="D4" sqref="D4"/>
    </sheetView>
  </sheetViews>
  <sheetFormatPr defaultRowHeight="14.4" x14ac:dyDescent="0.3"/>
  <cols>
    <col min="1" max="1" width="31.33203125" customWidth="1"/>
    <col min="2" max="2" width="25.109375" customWidth="1"/>
    <col min="3" max="3" width="30.109375" customWidth="1"/>
  </cols>
  <sheetData>
    <row r="1" spans="1:3" ht="28.8" x14ac:dyDescent="0.3">
      <c r="A1" s="5" t="s">
        <v>255</v>
      </c>
      <c r="B1" s="5" t="s">
        <v>256</v>
      </c>
      <c r="C1" s="5" t="s">
        <v>257</v>
      </c>
    </row>
    <row r="2" spans="1:3" x14ac:dyDescent="0.3">
      <c r="A2" s="1" t="s">
        <v>247</v>
      </c>
      <c r="B2" s="1" t="s">
        <v>258</v>
      </c>
      <c r="C2" s="1" t="s">
        <v>259</v>
      </c>
    </row>
    <row r="3" spans="1:3" x14ac:dyDescent="0.3">
      <c r="A3" s="1" t="s">
        <v>246</v>
      </c>
      <c r="B3" s="1" t="s">
        <v>260</v>
      </c>
      <c r="C3" s="1" t="s">
        <v>261</v>
      </c>
    </row>
    <row r="4" spans="1:3" x14ac:dyDescent="0.3">
      <c r="A4" s="1" t="s">
        <v>249</v>
      </c>
      <c r="B4" s="1" t="s">
        <v>262</v>
      </c>
      <c r="C4" s="1" t="s">
        <v>263</v>
      </c>
    </row>
    <row r="5" spans="1:3" x14ac:dyDescent="0.3">
      <c r="A5" s="1" t="s">
        <v>250</v>
      </c>
      <c r="B5" s="1" t="s">
        <v>264</v>
      </c>
      <c r="C5" s="1" t="s">
        <v>265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CE80-1DEB-4D84-8544-4621EB589555}">
  <dimension ref="A1:D5"/>
  <sheetViews>
    <sheetView tabSelected="1" workbookViewId="0">
      <selection activeCell="F28" sqref="F28"/>
    </sheetView>
  </sheetViews>
  <sheetFormatPr defaultRowHeight="14.4" x14ac:dyDescent="0.3"/>
  <cols>
    <col min="1" max="1" width="19.109375" customWidth="1"/>
  </cols>
  <sheetData>
    <row r="1" spans="1:4" x14ac:dyDescent="0.3">
      <c r="A1" s="5" t="s">
        <v>255</v>
      </c>
      <c r="B1" s="5" t="s">
        <v>1</v>
      </c>
      <c r="C1" s="5" t="s">
        <v>267</v>
      </c>
      <c r="D1" s="5" t="s">
        <v>266</v>
      </c>
    </row>
    <row r="2" spans="1:4" x14ac:dyDescent="0.3">
      <c r="A2" s="1" t="s">
        <v>247</v>
      </c>
      <c r="B2" s="1">
        <v>1583998</v>
      </c>
      <c r="C2" s="1">
        <v>0.68100000000000005</v>
      </c>
      <c r="D2" s="1">
        <v>1078734</v>
      </c>
    </row>
    <row r="3" spans="1:4" x14ac:dyDescent="0.3">
      <c r="A3" s="1" t="s">
        <v>246</v>
      </c>
      <c r="B3" s="1">
        <v>662715</v>
      </c>
      <c r="C3" s="1">
        <v>0.42520000000000002</v>
      </c>
      <c r="D3" s="1">
        <v>281767</v>
      </c>
    </row>
    <row r="4" spans="1:4" x14ac:dyDescent="0.3">
      <c r="A4" s="1" t="s">
        <v>249</v>
      </c>
      <c r="B4" s="1">
        <v>540939</v>
      </c>
      <c r="C4" s="1">
        <v>0.74670000000000003</v>
      </c>
      <c r="D4" s="1">
        <v>403934</v>
      </c>
    </row>
    <row r="5" spans="1:4" x14ac:dyDescent="0.3">
      <c r="A5" s="1" t="s">
        <v>250</v>
      </c>
      <c r="B5" s="1">
        <v>2598679</v>
      </c>
      <c r="C5" s="1">
        <v>0.1278</v>
      </c>
      <c r="D5" s="1">
        <v>332115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6C9A-97B9-4A5B-BD5B-56726EFF4C7E}">
  <dimension ref="A1:B19"/>
  <sheetViews>
    <sheetView topLeftCell="B1" workbookViewId="0">
      <selection activeCell="E4" sqref="E4"/>
    </sheetView>
  </sheetViews>
  <sheetFormatPr defaultRowHeight="14.4" x14ac:dyDescent="0.3"/>
  <cols>
    <col min="1" max="1" width="33.6640625" customWidth="1"/>
    <col min="2" max="2" width="112.21875" customWidth="1"/>
    <col min="3" max="3" width="10" customWidth="1"/>
  </cols>
  <sheetData>
    <row r="1" spans="1:2" x14ac:dyDescent="0.3">
      <c r="A1" t="s">
        <v>268</v>
      </c>
    </row>
    <row r="2" spans="1:2" x14ac:dyDescent="0.3">
      <c r="A2" t="s">
        <v>269</v>
      </c>
      <c r="B2" t="s">
        <v>270</v>
      </c>
    </row>
    <row r="3" spans="1:2" x14ac:dyDescent="0.3">
      <c r="A3" t="s">
        <v>271</v>
      </c>
      <c r="B3" t="s">
        <v>272</v>
      </c>
    </row>
    <row r="4" spans="1:2" x14ac:dyDescent="0.3">
      <c r="A4" t="s">
        <v>273</v>
      </c>
      <c r="B4" t="s">
        <v>274</v>
      </c>
    </row>
    <row r="5" spans="1:2" x14ac:dyDescent="0.3">
      <c r="A5" s="6"/>
    </row>
    <row r="6" spans="1:2" x14ac:dyDescent="0.3">
      <c r="A6" t="s">
        <v>275</v>
      </c>
    </row>
    <row r="7" spans="1:2" x14ac:dyDescent="0.3">
      <c r="A7" t="s">
        <v>269</v>
      </c>
      <c r="B7" t="s">
        <v>276</v>
      </c>
    </row>
    <row r="8" spans="1:2" x14ac:dyDescent="0.3">
      <c r="A8" t="s">
        <v>271</v>
      </c>
      <c r="B8" t="s">
        <v>277</v>
      </c>
    </row>
    <row r="9" spans="1:2" x14ac:dyDescent="0.3">
      <c r="A9" t="s">
        <v>273</v>
      </c>
      <c r="B9" t="s">
        <v>278</v>
      </c>
    </row>
    <row r="11" spans="1:2" x14ac:dyDescent="0.3">
      <c r="A11" t="s">
        <v>279</v>
      </c>
    </row>
    <row r="12" spans="1:2" x14ac:dyDescent="0.3">
      <c r="A12" t="s">
        <v>269</v>
      </c>
      <c r="B12" t="s">
        <v>280</v>
      </c>
    </row>
    <row r="13" spans="1:2" x14ac:dyDescent="0.3">
      <c r="A13" t="s">
        <v>271</v>
      </c>
      <c r="B13" t="s">
        <v>281</v>
      </c>
    </row>
    <row r="14" spans="1:2" x14ac:dyDescent="0.3">
      <c r="A14" t="s">
        <v>273</v>
      </c>
      <c r="B14" t="s">
        <v>282</v>
      </c>
    </row>
    <row r="16" spans="1:2" x14ac:dyDescent="0.3">
      <c r="A16" t="s">
        <v>283</v>
      </c>
    </row>
    <row r="17" spans="1:2" x14ac:dyDescent="0.3">
      <c r="A17" t="s">
        <v>269</v>
      </c>
      <c r="B17" t="s">
        <v>284</v>
      </c>
    </row>
    <row r="18" spans="1:2" x14ac:dyDescent="0.3">
      <c r="A18" t="s">
        <v>271</v>
      </c>
      <c r="B18" t="s">
        <v>285</v>
      </c>
    </row>
    <row r="19" spans="1:2" x14ac:dyDescent="0.3">
      <c r="A19" t="s">
        <v>273</v>
      </c>
      <c r="B19" t="s">
        <v>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5C8B-FAB0-45DE-8942-EEF45C96E481}">
  <dimension ref="A1:H6"/>
  <sheetViews>
    <sheetView showGridLines="0" workbookViewId="0">
      <selection activeCell="E19" sqref="E19"/>
    </sheetView>
  </sheetViews>
  <sheetFormatPr defaultRowHeight="14.4" x14ac:dyDescent="0.3"/>
  <cols>
    <col min="2" max="2" width="26.6640625" customWidth="1"/>
    <col min="4" max="4" width="13.5546875" customWidth="1"/>
    <col min="6" max="6" width="18.44140625" customWidth="1"/>
    <col min="8" max="8" width="27.109375" customWidth="1"/>
  </cols>
  <sheetData>
    <row r="1" spans="1:8" x14ac:dyDescent="0.3">
      <c r="A1" s="8" t="s">
        <v>294</v>
      </c>
      <c r="B1" s="8"/>
      <c r="C1" s="8"/>
      <c r="D1" s="8"/>
      <c r="E1" s="8"/>
      <c r="F1" s="8"/>
      <c r="G1" s="8"/>
      <c r="H1" s="8"/>
    </row>
    <row r="2" spans="1:8" ht="23.4" customHeight="1" x14ac:dyDescent="0.3">
      <c r="A2" s="8"/>
      <c r="B2" s="8"/>
      <c r="C2" s="8"/>
      <c r="D2" s="8"/>
      <c r="E2" s="8"/>
      <c r="F2" s="8"/>
      <c r="G2" s="8"/>
      <c r="H2" s="8"/>
    </row>
    <row r="3" spans="1:8" x14ac:dyDescent="0.3">
      <c r="B3" s="3" t="s">
        <v>287</v>
      </c>
    </row>
    <row r="4" spans="1:8" x14ac:dyDescent="0.3">
      <c r="B4" s="7">
        <f ca="1">TODAY()</f>
        <v>46018</v>
      </c>
    </row>
    <row r="5" spans="1:8" ht="15.6" x14ac:dyDescent="0.3">
      <c r="B5" s="12" t="s">
        <v>288</v>
      </c>
      <c r="C5" s="12"/>
      <c r="D5" s="12" t="s">
        <v>289</v>
      </c>
      <c r="E5" s="12"/>
      <c r="F5" s="12" t="s">
        <v>290</v>
      </c>
      <c r="G5" s="12"/>
      <c r="H5" s="12" t="s">
        <v>291</v>
      </c>
    </row>
    <row r="6" spans="1:8" ht="15.6" x14ac:dyDescent="0.3">
      <c r="B6" s="12">
        <f>SUM(Calculations!B:B)</f>
        <v>5386331</v>
      </c>
      <c r="C6" s="12"/>
      <c r="D6" s="12">
        <f>SUM(Calculations!E:E)</f>
        <v>2096550</v>
      </c>
      <c r="E6" s="12"/>
      <c r="F6" s="12">
        <f>AVERAGE(Calculations!F:F)</f>
        <v>39153</v>
      </c>
      <c r="G6" s="12"/>
      <c r="H6" s="12" t="s">
        <v>292</v>
      </c>
    </row>
  </sheetData>
  <mergeCells count="1">
    <mergeCell ref="A1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</vt:lpstr>
      <vt:lpstr>Clean_Data</vt:lpstr>
      <vt:lpstr>Calculations</vt:lpstr>
      <vt:lpstr>Pivot_Revenue</vt:lpstr>
      <vt:lpstr>Segment_Profit</vt:lpstr>
      <vt:lpstr>Segment_Margin</vt:lpstr>
      <vt:lpstr>Segment_Actions</vt:lpstr>
      <vt:lpstr>Chart_Data</vt:lpstr>
      <vt:lpstr>Insights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Reddymachu</dc:creator>
  <cp:lastModifiedBy>Bhavana Reddymachu</cp:lastModifiedBy>
  <dcterms:created xsi:type="dcterms:W3CDTF">2025-12-17T16:08:06Z</dcterms:created>
  <dcterms:modified xsi:type="dcterms:W3CDTF">2025-12-27T10:21:33Z</dcterms:modified>
</cp:coreProperties>
</file>